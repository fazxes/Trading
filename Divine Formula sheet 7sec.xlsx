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0"/>
  <workbookPr/>
  <mc:AlternateContent xmlns:mc="http://schemas.openxmlformats.org/markup-compatibility/2006">
    <mc:Choice Requires="x15">
      <x15ac:absPath xmlns:x15ac="http://schemas.microsoft.com/office/spreadsheetml/2010/11/ac" url="https://d.docs.live.net/874A4B994634EF4C/"/>
    </mc:Choice>
  </mc:AlternateContent>
  <xr:revisionPtr revIDLastSave="0" documentId="8_{7AA99404-ED2F-9543-BD07-5C41CCFE0DE1}" xr6:coauthVersionLast="47" xr6:coauthVersionMax="47" xr10:uidLastSave="{00000000-0000-0000-0000-000000000000}"/>
  <bookViews>
    <workbookView xWindow="0" yWindow="0" windowWidth="28800" windowHeight="18000" firstSheet="19" activeTab="19" xr2:uid="{00000000-000D-0000-FFFF-FFFF00000000}"/>
  </bookViews>
  <sheets>
    <sheet name="Sheet3" sheetId="9" r:id="rId1"/>
    <sheet name="Success" sheetId="1" r:id="rId2"/>
    <sheet name="Reference Point" sheetId="3" r:id="rId3"/>
    <sheet name="COPY" sheetId="4" r:id="rId4"/>
    <sheet name="Closing " sheetId="2" r:id="rId5"/>
    <sheet name="closing1" sheetId="5" r:id="rId6"/>
    <sheet name="Last 32secs Trade" sheetId="6" r:id="rId7"/>
    <sheet name="Sheet1" sheetId="8" r:id="rId8"/>
    <sheet name="Sheet6" sheetId="12" r:id="rId9"/>
    <sheet name="Sheet4" sheetId="10" r:id="rId10"/>
    <sheet name="Sheet5" sheetId="11" r:id="rId11"/>
    <sheet name="Sheet 3 advanced" sheetId="15" r:id="rId12"/>
    <sheet name="Sheet 3 E version " sheetId="16" r:id="rId13"/>
    <sheet name="Sheet 3 Ipad version " sheetId="13" r:id="rId14"/>
    <sheet name="Sheet7" sheetId="14" r:id="rId15"/>
    <sheet name="5 Minute Graph Signals " sheetId="17" r:id="rId16"/>
    <sheet name="Success 5 minute 7sec signal" sheetId="18" r:id="rId17"/>
    <sheet name="Sheet9" sheetId="19" r:id="rId18"/>
    <sheet name="Sheet2" sheetId="7" state="hidden" r:id="rId19"/>
    <sheet name="EURUSD Session Signal 7sec" sheetId="20" r:id="rId20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0" l="1"/>
  <c r="B8" i="20"/>
  <c r="C8" i="20"/>
  <c r="D5" i="19" a="1"/>
  <c r="D5" i="19"/>
  <c r="B4" i="18"/>
  <c r="C6" i="18"/>
  <c r="D6" i="18"/>
  <c r="A9" i="15"/>
  <c r="D10" i="18"/>
  <c r="E6" i="18"/>
  <c r="D11" i="18" a="1"/>
  <c r="D11" i="18"/>
  <c r="E11" i="18"/>
  <c r="C11" i="18" a="1"/>
  <c r="C11" i="18"/>
  <c r="B4" i="17"/>
  <c r="B6" i="17" a="1"/>
  <c r="B6" i="17"/>
  <c r="D5" i="17" a="1"/>
  <c r="D5" i="17"/>
  <c r="E6" i="17"/>
  <c r="B5" i="17"/>
  <c r="B4" i="19"/>
  <c r="C5" i="19"/>
  <c r="B10" i="18" a="1"/>
  <c r="B10" i="18"/>
  <c r="D6" i="17"/>
  <c r="B8" i="17" a="1"/>
  <c r="B8" i="17"/>
  <c r="B8" i="18"/>
  <c r="A9" i="16"/>
  <c r="E8" i="18"/>
  <c r="D8" i="18"/>
  <c r="C8" i="18"/>
  <c r="C10" i="18" a="1"/>
  <c r="C10" i="18"/>
  <c r="D8" i="17" a="1"/>
  <c r="D8" i="17"/>
  <c r="D11" i="17"/>
  <c r="C5" i="17"/>
  <c r="D10" i="17"/>
  <c r="B13" i="10"/>
  <c r="C12" i="11"/>
  <c r="C11" i="15"/>
  <c r="C10" i="17" a="1"/>
  <c r="C10" i="17"/>
  <c r="A6" i="10"/>
  <c r="D16" i="11"/>
  <c r="D11" i="16"/>
  <c r="C11" i="17" a="1"/>
  <c r="C11" i="17"/>
  <c r="C6" i="17" a="1"/>
  <c r="C6" i="17"/>
  <c r="B10" i="17" a="1"/>
  <c r="B10" i="17"/>
  <c r="C8" i="17" a="1"/>
  <c r="C8" i="17"/>
  <c r="C11" i="16"/>
  <c r="D5" i="16" a="1"/>
  <c r="D5" i="16"/>
  <c r="D5" i="15"/>
  <c r="B4" i="16"/>
  <c r="A14" i="16"/>
  <c r="D14" i="16"/>
  <c r="B11" i="16"/>
  <c r="A11" i="16"/>
  <c r="F9" i="16"/>
  <c r="D9" i="16"/>
  <c r="D13" i="16"/>
  <c r="E30" i="16"/>
  <c r="E33" i="16"/>
  <c r="E35" i="16"/>
  <c r="E36" i="16"/>
  <c r="E37" i="16"/>
  <c r="E43" i="16"/>
  <c r="E1" i="16"/>
  <c r="E3" i="16"/>
  <c r="E13" i="16"/>
  <c r="E2" i="16"/>
  <c r="E6" i="16"/>
  <c r="E7" i="16"/>
  <c r="E11" i="16"/>
  <c r="E12" i="16"/>
  <c r="E10" i="16"/>
  <c r="E14" i="16"/>
  <c r="E21" i="16"/>
  <c r="E22" i="16"/>
  <c r="E41" i="16"/>
  <c r="E15" i="16"/>
  <c r="E23" i="16"/>
  <c r="E26" i="16"/>
  <c r="E29" i="16"/>
  <c r="E39" i="16"/>
  <c r="E40" i="16"/>
  <c r="E42" i="16"/>
  <c r="E27" i="16"/>
  <c r="E25" i="16"/>
  <c r="E28" i="16"/>
  <c r="E31" i="16"/>
  <c r="E4" i="16"/>
  <c r="E38" i="16"/>
  <c r="E34" i="16"/>
  <c r="E24" i="16"/>
  <c r="E32" i="16"/>
  <c r="E9" i="16"/>
  <c r="E5" i="16"/>
  <c r="E8" i="16"/>
  <c r="E16" i="16"/>
  <c r="E17" i="16"/>
  <c r="E18" i="16"/>
  <c r="E19" i="16"/>
  <c r="E20" i="16"/>
  <c r="B7" i="16"/>
  <c r="B8" i="16"/>
  <c r="A12" i="16"/>
  <c r="B12" i="16"/>
  <c r="C12" i="16"/>
  <c r="C13" i="16"/>
  <c r="B14" i="16"/>
  <c r="E9" i="15"/>
  <c r="B4" i="15"/>
  <c r="E1" i="15"/>
  <c r="E8" i="15"/>
  <c r="E10" i="15"/>
  <c r="E11" i="15"/>
  <c r="E2" i="15"/>
  <c r="E6" i="15"/>
  <c r="E12" i="15"/>
  <c r="E3" i="15"/>
  <c r="E4" i="15"/>
  <c r="E5" i="15"/>
  <c r="E7" i="15"/>
  <c r="F11" i="15"/>
  <c r="F8" i="15" a="1"/>
  <c r="F8" i="15"/>
  <c r="D11" i="15"/>
  <c r="D9" i="15"/>
  <c r="B7" i="15"/>
  <c r="D14" i="15"/>
  <c r="A11" i="15"/>
  <c r="B11" i="15"/>
  <c r="B14" i="15"/>
  <c r="B12" i="15"/>
  <c r="A14" i="15"/>
  <c r="D13" i="15"/>
  <c r="E13" i="15"/>
  <c r="A12" i="15"/>
  <c r="C12" i="15"/>
  <c r="C13" i="15"/>
  <c r="B8" i="15"/>
  <c r="B6" i="13"/>
  <c r="C12" i="13"/>
  <c r="C11" i="13"/>
  <c r="B7" i="13"/>
  <c r="B8" i="13"/>
  <c r="B4" i="13"/>
  <c r="B4" i="9"/>
  <c r="D11" i="9"/>
  <c r="E19" i="13"/>
  <c r="C6" i="14"/>
  <c r="B6" i="14"/>
  <c r="B5" i="14"/>
  <c r="B4" i="14"/>
  <c r="D18" i="9"/>
  <c r="C19" i="9"/>
  <c r="C9" i="9"/>
  <c r="B19" i="9"/>
  <c r="B20" i="9"/>
  <c r="B21" i="9"/>
  <c r="D5" i="9"/>
  <c r="B4" i="11"/>
  <c r="B18" i="11"/>
  <c r="C18" i="11"/>
  <c r="B19" i="11"/>
  <c r="C19" i="11"/>
  <c r="C9" i="11"/>
  <c r="B20" i="11"/>
  <c r="A15" i="11"/>
  <c r="B15" i="11"/>
  <c r="C15" i="11"/>
  <c r="D15" i="11"/>
  <c r="A16" i="11"/>
  <c r="B16" i="11"/>
  <c r="C16" i="11"/>
  <c r="C4" i="11"/>
  <c r="A5" i="11"/>
  <c r="B5" i="11"/>
  <c r="C5" i="11"/>
  <c r="D5" i="11"/>
  <c r="A6" i="11"/>
  <c r="B6" i="11"/>
  <c r="C6" i="11"/>
  <c r="D6" i="11"/>
  <c r="A7" i="11"/>
  <c r="B7" i="11"/>
  <c r="C7" i="11"/>
  <c r="D7" i="11"/>
  <c r="C8" i="11"/>
  <c r="A11" i="11"/>
  <c r="B11" i="11"/>
  <c r="C11" i="11"/>
  <c r="D11" i="11"/>
  <c r="A12" i="11"/>
  <c r="B12" i="11"/>
  <c r="D12" i="11"/>
  <c r="E6" i="9"/>
  <c r="C7" i="10"/>
  <c r="B20" i="10"/>
  <c r="B19" i="10"/>
  <c r="C17" i="10"/>
  <c r="B17" i="10"/>
  <c r="B12" i="10"/>
  <c r="D8" i="10"/>
  <c r="C8" i="10"/>
  <c r="A8" i="10"/>
  <c r="D7" i="10"/>
  <c r="B7" i="10"/>
  <c r="A7" i="10"/>
  <c r="D6" i="10"/>
  <c r="C6" i="10"/>
  <c r="B6" i="10"/>
  <c r="D9" i="10"/>
  <c r="D5" i="10"/>
  <c r="C5" i="10"/>
  <c r="B5" i="10"/>
  <c r="B4" i="10"/>
  <c r="B8" i="10"/>
  <c r="B5" i="6"/>
  <c r="B4" i="6"/>
  <c r="B12" i="8"/>
  <c r="B8" i="8"/>
  <c r="B7" i="8"/>
  <c r="B6" i="8"/>
  <c r="D11" i="3"/>
  <c r="D17" i="3"/>
  <c r="E18" i="3"/>
  <c r="E19" i="3"/>
  <c r="D18" i="3"/>
  <c r="D14" i="3"/>
  <c r="D13" i="3"/>
  <c r="B7" i="5"/>
  <c r="B6" i="5"/>
  <c r="E29" i="3"/>
  <c r="E28" i="3"/>
  <c r="E27" i="3"/>
  <c r="E26" i="3"/>
  <c r="E25" i="3"/>
  <c r="E24" i="3"/>
  <c r="E33" i="3"/>
  <c r="D18" i="4"/>
  <c r="D7" i="4"/>
  <c r="D16" i="4"/>
  <c r="D13" i="4"/>
  <c r="B29" i="4"/>
  <c r="B28" i="4"/>
  <c r="B27" i="4"/>
  <c r="B33" i="4"/>
  <c r="B26" i="4"/>
  <c r="B25" i="4"/>
  <c r="B24" i="4"/>
  <c r="B30" i="4"/>
  <c r="D11" i="4"/>
  <c r="D21" i="4"/>
  <c r="F2" i="4"/>
  <c r="F3" i="4"/>
  <c r="F4" i="4"/>
  <c r="B7" i="4"/>
  <c r="B8" i="4"/>
  <c r="B9" i="4"/>
  <c r="B10" i="4"/>
  <c r="F10" i="4"/>
  <c r="B11" i="4"/>
  <c r="F11" i="4"/>
  <c r="B12" i="4"/>
  <c r="F12" i="4"/>
  <c r="F13" i="4"/>
  <c r="B14" i="4"/>
  <c r="F14" i="4"/>
  <c r="B15" i="4"/>
  <c r="F15" i="4"/>
  <c r="B16" i="4"/>
  <c r="B17" i="4"/>
  <c r="B18" i="4"/>
  <c r="B19" i="4"/>
  <c r="B20" i="4"/>
  <c r="B21" i="4"/>
  <c r="F21" i="4"/>
  <c r="F14" i="1"/>
  <c r="B8" i="3"/>
  <c r="F21" i="3"/>
  <c r="B14" i="3"/>
  <c r="F2" i="3"/>
  <c r="F3" i="3"/>
  <c r="F4" i="3"/>
  <c r="F11" i="3"/>
  <c r="B27" i="3"/>
  <c r="B26" i="3"/>
  <c r="B25" i="3"/>
  <c r="B17" i="3"/>
  <c r="B10" i="3"/>
  <c r="B7" i="3"/>
  <c r="B20" i="2" a="1"/>
  <c r="B20" i="2"/>
  <c r="B17" i="2"/>
  <c r="B16" i="2"/>
  <c r="B8" i="2"/>
  <c r="B9" i="2"/>
  <c r="B7" i="2"/>
  <c r="B27" i="1"/>
  <c r="B26" i="1"/>
  <c r="B25" i="1"/>
  <c r="B17" i="1"/>
  <c r="B16" i="1"/>
  <c r="B10" i="1"/>
  <c r="B8" i="1"/>
  <c r="B7" i="1"/>
  <c r="F10" i="3"/>
  <c r="F12" i="3"/>
  <c r="B32" i="3"/>
  <c r="F19" i="3"/>
  <c r="F13" i="3"/>
  <c r="F14" i="3"/>
  <c r="F15" i="3"/>
  <c r="B36" i="3"/>
  <c r="B35" i="3"/>
  <c r="B34" i="3"/>
  <c r="B33" i="3"/>
  <c r="B31" i="3"/>
  <c r="B15" i="3"/>
  <c r="B21" i="3"/>
  <c r="B11" i="3"/>
  <c r="B9" i="3"/>
  <c r="B12" i="3"/>
  <c r="D21" i="3"/>
  <c r="B15" i="2"/>
  <c r="B21" i="2"/>
  <c r="B12" i="2"/>
  <c r="B10" i="2"/>
  <c r="B15" i="1"/>
  <c r="B21" i="1"/>
  <c r="B11" i="1"/>
  <c r="B14" i="1"/>
  <c r="B9" i="1"/>
  <c r="B12" i="1"/>
  <c r="B34" i="1"/>
  <c r="B33" i="1"/>
  <c r="B31" i="1"/>
  <c r="B38" i="1"/>
  <c r="B37" i="1"/>
  <c r="B36" i="1"/>
  <c r="B35" i="1"/>
  <c r="B32" i="1"/>
  <c r="F16" i="3"/>
  <c r="F17" i="3"/>
  <c r="B38" i="3"/>
  <c r="B37" i="3"/>
  <c r="B20" i="3"/>
  <c r="B19" i="3"/>
  <c r="B18" i="3"/>
  <c r="B14" i="2"/>
  <c r="B11" i="2"/>
  <c r="B20" i="1"/>
  <c r="B19" i="1"/>
  <c r="B18" i="1"/>
  <c r="B19" i="2"/>
  <c r="B13" i="2"/>
  <c r="C19" i="10"/>
  <c r="C18" i="10"/>
  <c r="B18" i="10"/>
  <c r="A6" i="6"/>
  <c r="B7" i="6"/>
  <c r="D6" i="6"/>
  <c r="A7" i="6"/>
  <c r="B6" i="6"/>
  <c r="A8" i="6"/>
  <c r="C6" i="6"/>
  <c r="C4" i="6"/>
  <c r="C7" i="6"/>
  <c r="B10" i="8"/>
  <c r="B11" i="8"/>
  <c r="B13" i="8"/>
  <c r="D7" i="6"/>
  <c r="B10" i="6"/>
  <c r="B11" i="6"/>
  <c r="B12" i="6"/>
  <c r="B8" i="5"/>
  <c r="E30" i="3"/>
  <c r="E32" i="3"/>
  <c r="D19" i="3"/>
  <c r="D15" i="3"/>
  <c r="E35" i="3"/>
  <c r="E34" i="3"/>
  <c r="E31" i="3"/>
  <c r="B34" i="4"/>
  <c r="B35" i="4"/>
  <c r="B32" i="4"/>
  <c r="B31" i="4"/>
  <c r="B10" i="5"/>
  <c r="B9" i="5"/>
  <c r="D15" i="4"/>
  <c r="F16" i="4"/>
  <c r="F17" i="4"/>
  <c r="C4" i="9"/>
  <c r="A5" i="9"/>
  <c r="A6" i="9"/>
  <c r="B6" i="9"/>
  <c r="A7" i="9"/>
  <c r="D7" i="9"/>
  <c r="C6" i="9"/>
  <c r="C5" i="9"/>
  <c r="B15" i="9"/>
  <c r="B16" i="9"/>
  <c r="D16" i="9"/>
  <c r="D15" i="9"/>
  <c r="C16" i="9"/>
  <c r="A15" i="9"/>
  <c r="A16" i="9"/>
  <c r="D12" i="9"/>
  <c r="C11" i="9"/>
  <c r="C12" i="9"/>
  <c r="A11" i="9"/>
  <c r="A12" i="9"/>
  <c r="C7" i="9"/>
  <c r="C8" i="9"/>
  <c r="B5" i="9"/>
  <c r="B7" i="9"/>
  <c r="D6" i="9"/>
  <c r="C21" i="9"/>
  <c r="C20" i="9"/>
  <c r="C8" i="14"/>
  <c r="B8" i="14"/>
  <c r="C7" i="14"/>
  <c r="B7" i="14"/>
  <c r="D5" i="14"/>
  <c r="C5" i="14"/>
  <c r="C18" i="9"/>
  <c r="B18" i="9"/>
  <c r="B12" i="9"/>
  <c r="B11" i="9"/>
  <c r="D12" i="13"/>
  <c r="B12" i="13"/>
  <c r="A12" i="13"/>
  <c r="D11" i="13"/>
  <c r="B11" i="13"/>
  <c r="A11" i="13"/>
  <c r="C13" i="13"/>
  <c r="A8" i="20"/>
  <c r="D8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<sst xmlns="http://schemas.openxmlformats.org/spreadsheetml/2006/main" count="380" uniqueCount="155">
  <si>
    <t>PRICE AT 1:45</t>
  </si>
  <si>
    <t>PRICE AT 30 SEC</t>
  </si>
  <si>
    <t>Price at 58 seconds</t>
  </si>
  <si>
    <t>PRICE AT 26 SEC</t>
  </si>
  <si>
    <t>PRICE AT 43 seconds</t>
  </si>
  <si>
    <t>PRICE AT 22 SECS</t>
  </si>
  <si>
    <t>CLOSING</t>
  </si>
  <si>
    <t>WEEKDAYS 8AM to 3PM</t>
  </si>
  <si>
    <t>Weekday - 3pm to 6PM</t>
  </si>
  <si>
    <t>WEEKDAY 6pm to 11pm</t>
  </si>
  <si>
    <t>Weekday 12am-3am</t>
  </si>
  <si>
    <t>WEEKEND MARKET 8AM TO 3PM</t>
  </si>
  <si>
    <t>Weekend Market 3PM TO 6PM</t>
  </si>
  <si>
    <t>WEEKEND MARKET 6PM TO 11:30</t>
  </si>
  <si>
    <t>Weekend 12AM TO 3am</t>
  </si>
  <si>
    <t>Duration - for all</t>
  </si>
  <si>
    <t>Open</t>
  </si>
  <si>
    <t>Current</t>
  </si>
  <si>
    <t>High</t>
  </si>
  <si>
    <t>Low</t>
  </si>
  <si>
    <t>Time Passed</t>
  </si>
  <si>
    <t>Remaining time</t>
  </si>
  <si>
    <t xml:space="preserve">Momentum </t>
  </si>
  <si>
    <t>Volatility</t>
  </si>
  <si>
    <t>Adjusted Volatility</t>
  </si>
  <si>
    <t>adjusted momentum</t>
  </si>
  <si>
    <t>Closing</t>
  </si>
  <si>
    <t xml:space="preserve">closing </t>
  </si>
  <si>
    <t xml:space="preserve">Trade decision </t>
  </si>
  <si>
    <t>Predicted close</t>
  </si>
  <si>
    <t>Current price</t>
  </si>
  <si>
    <t>Thereshold value</t>
  </si>
  <si>
    <t>Buy Signal</t>
  </si>
  <si>
    <t>Sell Signal</t>
  </si>
  <si>
    <t>Confidence level</t>
  </si>
  <si>
    <t>REFERENCE POINT</t>
  </si>
  <si>
    <t>HIGH</t>
  </si>
  <si>
    <t>LOW</t>
  </si>
  <si>
    <t>CURRENT PRICE</t>
  </si>
  <si>
    <t>Previous close</t>
  </si>
  <si>
    <t>previous high</t>
  </si>
  <si>
    <t>previous low</t>
  </si>
  <si>
    <t>Midpoint</t>
  </si>
  <si>
    <t>Reference point</t>
  </si>
  <si>
    <t>Buy:</t>
  </si>
  <si>
    <t xml:space="preserve">Sell: </t>
  </si>
  <si>
    <t>BUY</t>
  </si>
  <si>
    <t>SELL</t>
  </si>
  <si>
    <t>OPEN</t>
  </si>
  <si>
    <t>Column1</t>
  </si>
  <si>
    <t>CLOSE</t>
  </si>
  <si>
    <t>TIME PASSED</t>
  </si>
  <si>
    <t>REMAINING TIME</t>
  </si>
  <si>
    <t>PREVIOUS CLOSE</t>
  </si>
  <si>
    <t>PREVIOUS HIGH</t>
  </si>
  <si>
    <t>VOLATILITY</t>
  </si>
  <si>
    <t>PREVIOUS LOW</t>
  </si>
  <si>
    <t>ADJUSTED VOLATILITY</t>
  </si>
  <si>
    <t>ADJUSTED MOMENTUM</t>
  </si>
  <si>
    <t>=</t>
  </si>
  <si>
    <t xml:space="preserve">CLOSING </t>
  </si>
  <si>
    <t>TRADE DECISION</t>
  </si>
  <si>
    <t>PREDICTED CLOSE</t>
  </si>
  <si>
    <t xml:space="preserve">MOMENTUM </t>
  </si>
  <si>
    <t xml:space="preserve">MOMENTOM LOCK </t>
  </si>
  <si>
    <t>TREND CONFIRMATION</t>
  </si>
  <si>
    <t xml:space="preserve">THEREHOLD VALUE </t>
  </si>
  <si>
    <t>VOLATILITY CHECK</t>
  </si>
  <si>
    <t>BUY SIGNAL</t>
  </si>
  <si>
    <t xml:space="preserve">SELL SIGNAL </t>
  </si>
  <si>
    <t>CONFIDENCE LEVEL</t>
  </si>
  <si>
    <t>Reference</t>
  </si>
  <si>
    <t>Momentum</t>
  </si>
  <si>
    <t>Sell:</t>
  </si>
  <si>
    <t>VIOLATITY INDETIFER</t>
  </si>
  <si>
    <t>Column2</t>
  </si>
  <si>
    <t>Timeframe</t>
  </si>
  <si>
    <t>Open Price</t>
  </si>
  <si>
    <t>HighPrice</t>
  </si>
  <si>
    <t>LowPrice</t>
  </si>
  <si>
    <t>CurrentPrice</t>
  </si>
  <si>
    <t>Momentum%</t>
  </si>
  <si>
    <t>VolatilityFactorATR</t>
  </si>
  <si>
    <t>CLOSING PRICE</t>
  </si>
  <si>
    <t>TradeDecision</t>
  </si>
  <si>
    <t>Trade enter</t>
  </si>
  <si>
    <t>Excel Sheet Time (Passed Time)</t>
  </si>
  <si>
    <t>Pocket Option Time Left</t>
  </si>
  <si>
    <t>Action</t>
  </si>
  <si>
    <t>Monitor Price</t>
  </si>
  <si>
    <t>ENTER TRADE</t>
  </si>
  <si>
    <t>Trade Active</t>
  </si>
  <si>
    <t>10:00 (Candle Closes)</t>
  </si>
  <si>
    <t>Trade Expires ✅</t>
  </si>
  <si>
    <t>Average</t>
  </si>
  <si>
    <t>30=BUY, 34 =sell</t>
  </si>
  <si>
    <t>AUD/USD, EUR/USD</t>
  </si>
  <si>
    <t xml:space="preserve">CLOSING: </t>
  </si>
  <si>
    <t>DECISION</t>
  </si>
  <si>
    <t>Entry:</t>
  </si>
  <si>
    <t xml:space="preserve">Time </t>
  </si>
  <si>
    <t xml:space="preserve">High Price </t>
  </si>
  <si>
    <t xml:space="preserve">Low Price </t>
  </si>
  <si>
    <t xml:space="preserve">Close Price </t>
  </si>
  <si>
    <t>Candle Strength</t>
  </si>
  <si>
    <t xml:space="preserve">Volatility Factor </t>
  </si>
  <si>
    <t>Momentom Strength</t>
  </si>
  <si>
    <t>Predicted Close</t>
  </si>
  <si>
    <t xml:space="preserve">Best Entry Time </t>
  </si>
  <si>
    <t xml:space="preserve">Trade Direction </t>
  </si>
  <si>
    <t>STRONG CONFIRMATION</t>
  </si>
  <si>
    <t>STRONG</t>
  </si>
  <si>
    <t>BUY = 20EX sell = 22ex</t>
  </si>
  <si>
    <t>NIGHT TRADES - AFTER 1 AM</t>
  </si>
  <si>
    <t>DURATION</t>
  </si>
  <si>
    <t>BUY - SELL DECISION</t>
  </si>
  <si>
    <t>Market for 3PM TO 6PM - HIGH VOLATILITYY</t>
  </si>
  <si>
    <t>Duration - for all %</t>
  </si>
  <si>
    <t>PRICE AT 20 SECS</t>
  </si>
  <si>
    <t xml:space="preserve">5minute candle signal 8am to 3pm </t>
  </si>
  <si>
    <t xml:space="preserve">5minute candle signal 1am to 5am </t>
  </si>
  <si>
    <t>8AM TO 3PM</t>
  </si>
  <si>
    <t>3PM TO 6PM</t>
  </si>
  <si>
    <t>6PM TO 1AM</t>
  </si>
  <si>
    <t>1AM TO 5AM</t>
  </si>
  <si>
    <t xml:space="preserve"> </t>
  </si>
  <si>
    <t xml:space="preserve">ENTRY </t>
  </si>
  <si>
    <t>EXPIRATION TIME</t>
  </si>
  <si>
    <t>PRICE AT 20 SEC</t>
  </si>
  <si>
    <t>PRICE AT 12 SECS</t>
  </si>
  <si>
    <t>PRICE AT 1:30</t>
  </si>
  <si>
    <t>PRICE AT 45 SEC</t>
  </si>
  <si>
    <t>Price at 1:15 seconds</t>
  </si>
  <si>
    <t>PRICE AT 1:00 seconds</t>
  </si>
  <si>
    <t>8AM TO 4PM</t>
  </si>
  <si>
    <t>4PM TO 12 AM</t>
  </si>
  <si>
    <t xml:space="preserve">12 AM TO 8AM </t>
  </si>
  <si>
    <t>Weekend Market</t>
  </si>
  <si>
    <t xml:space="preserve">4PM 12 AM </t>
  </si>
  <si>
    <t>Universal Weekend market formula</t>
  </si>
  <si>
    <t>AVERAGE CLOSING</t>
  </si>
  <si>
    <t>Divinely Blessed Universal Formula</t>
  </si>
  <si>
    <t>8AM TO 12 PM</t>
  </si>
  <si>
    <t>2PM TO 5PM</t>
  </si>
  <si>
    <t>5PM TO 7PM</t>
  </si>
  <si>
    <t>9PM TO 12AM</t>
  </si>
  <si>
    <t>8AM TO 12PM</t>
  </si>
  <si>
    <t xml:space="preserve">2PM TO 5PM </t>
  </si>
  <si>
    <t xml:space="preserve">5PM TO 7PM </t>
  </si>
  <si>
    <t>Universal Weekend Formula</t>
  </si>
  <si>
    <t>PRICE AT 1:00 Min</t>
  </si>
  <si>
    <t>Early European OTC 6:00 Am to 9:00 Am</t>
  </si>
  <si>
    <t>Prime European OTC 9:00 Am to 12:00 Pm</t>
  </si>
  <si>
    <t>Early US OTC 12:00 Pm to 3:00 Pm</t>
  </si>
  <si>
    <t>Late OTC 3:00 Pm to 4:00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</si>
</sst>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24" x14ac:knownFonts="1"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6"/>
      <color rgb="FFFF0000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6"/>
      <color rgb="FFFF0000"/>
      <name val="Aptos Narrow"/>
    </font>
    <font>
      <b/>
      <sz val="28"/>
      <color rgb="FF00000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8"/>
      <color rgb="FFFF0000"/>
      <name val="Aptos Narrow"/>
    </font>
    <font>
      <b/>
      <sz val="16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b/>
      <sz val="16"/>
      <color rgb="FFFF0000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b/>
      <sz val="48"/>
      <color rgb="FFFF0000"/>
      <name val="Aptos Narrow"/>
      <family val="2"/>
      <scheme val="minor"/>
    </font>
    <font>
      <b/>
      <sz val="48"/>
      <color rgb="FF00000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36"/>
      <color rgb="FFFF0000"/>
      <name val="Aptos Narrow"/>
      <family val="2"/>
      <scheme val="minor"/>
    </font>
    <font>
      <b/>
      <sz val="48"/>
      <color rgb="FFFF0000"/>
      <name val="Arial Black"/>
      <family val="2"/>
    </font>
    <font>
      <b/>
      <sz val="36"/>
      <color rgb="FFFF0000"/>
      <name val="Arial Black"/>
      <family val="2"/>
    </font>
    <font>
      <b/>
      <sz val="72"/>
      <color rgb="FFFF0000"/>
      <name val="Arial Black"/>
      <family val="2"/>
    </font>
    <font>
      <b/>
      <sz val="72"/>
      <color rgb="FFFF0000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48"/>
      <color rgb="FFFF0000"/>
      <name val="Aptos Narrow"/>
      <family val="2"/>
      <scheme val="minor"/>
    </font>
    <font>
      <sz val="48"/>
      <color rgb="FF000000"/>
      <name val="Aptos Narrow"/>
      <family val="2"/>
      <scheme val="minor"/>
    </font>
    <font>
      <b/>
      <sz val="48"/>
      <color theme="6" tint="0.39997558519241921"/>
      <name val="Aptos Narrow"/>
      <family val="2"/>
      <scheme val="minor"/>
    </font>
    <font>
      <b/>
      <sz val="36"/>
      <color theme="1" tint="4.9989318521683403E-2"/>
      <name val="Aptos Narrow"/>
      <family val="2"/>
      <scheme val="minor"/>
    </font>
    <font>
      <b/>
      <sz val="28"/>
      <color theme="1" tint="4.9989318521683403E-2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3.5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72"/>
      <color rgb="FFFF0000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2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4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6"/>
      <color theme="0"/>
      <name val="Aptos Narrow"/>
      <family val="2"/>
      <scheme val="minor"/>
    </font>
    <font>
      <b/>
      <u/>
      <sz val="24"/>
      <color theme="1"/>
      <name val="Aptos Narrow"/>
      <family val="2"/>
      <scheme val="minor"/>
    </font>
    <font>
      <u/>
      <sz val="26"/>
      <color theme="1"/>
      <name val="Aptos Narrow"/>
      <family val="2"/>
      <scheme val="minor"/>
    </font>
    <font>
      <u/>
      <sz val="28"/>
      <color rgb="FF000000"/>
      <name val="Aptos Narrow"/>
      <scheme val="minor"/>
    </font>
    <font>
      <sz val="24"/>
      <color rgb="FFFF0000"/>
      <name val="Aptos Narrow"/>
      <family val="2"/>
      <scheme val="minor"/>
    </font>
    <font>
      <sz val="26"/>
      <color rgb="FFFF0000"/>
      <name val="Aptos Narrow"/>
      <family val="2"/>
      <scheme val="minor"/>
    </font>
    <font>
      <sz val="26"/>
      <color theme="5"/>
      <name val="Aptos Narrow"/>
      <family val="2"/>
      <scheme val="minor"/>
    </font>
    <font>
      <u/>
      <sz val="26"/>
      <color rgb="FFFF0000"/>
      <name val="Aptos Narrow"/>
      <family val="2"/>
      <scheme val="minor"/>
    </font>
    <font>
      <sz val="20"/>
      <color rgb="FFFF0000"/>
      <name val="Aptos Narrow"/>
      <family val="2"/>
      <scheme val="minor"/>
    </font>
    <font>
      <sz val="20"/>
      <color theme="1"/>
      <name val="Aptos Narrow"/>
      <family val="2"/>
      <scheme val="minor"/>
    </font>
    <font>
      <u/>
      <sz val="28"/>
      <color theme="1"/>
      <name val="Aptos Narrow"/>
      <family val="2"/>
      <scheme val="minor"/>
    </font>
    <font>
      <b/>
      <u/>
      <sz val="28"/>
      <color theme="1"/>
      <name val="Aptos Narrow"/>
      <family val="2"/>
      <scheme val="minor"/>
    </font>
    <font>
      <sz val="26"/>
      <color rgb="FFFFC000"/>
      <name val="Aptos Narrow"/>
      <family val="2"/>
      <scheme val="minor"/>
    </font>
    <font>
      <sz val="24"/>
      <color rgb="FFFFFF00"/>
      <name val="Aptos Narrow"/>
      <family val="2"/>
      <scheme val="minor"/>
    </font>
    <font>
      <sz val="26"/>
      <color rgb="FF92D050"/>
      <name val="Aptos Narrow"/>
      <family val="2"/>
      <scheme val="minor"/>
    </font>
    <font>
      <sz val="26"/>
      <color theme="6" tint="0.39997558519241921"/>
      <name val="Aptos Narrow"/>
      <family val="2"/>
      <scheme val="minor"/>
    </font>
    <font>
      <b/>
      <sz val="26"/>
      <color theme="6" tint="0.3999755851924192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36"/>
      <color theme="8" tint="0.39997558519241921"/>
      <name val="Aptos Narrow"/>
      <family val="2"/>
      <scheme val="minor"/>
    </font>
    <font>
      <b/>
      <sz val="28"/>
      <color rgb="FFFF0000"/>
      <name val="Aptos Narrow"/>
      <family val="2"/>
      <scheme val="minor"/>
    </font>
    <font>
      <b/>
      <sz val="28"/>
      <color rgb="FF00B050"/>
      <name val="Aptos Narrow"/>
      <family val="2"/>
      <scheme val="minor"/>
    </font>
    <font>
      <b/>
      <u/>
      <sz val="36"/>
      <color rgb="FFFF0000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8"/>
      <color rgb="FFFF0000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6"/>
      <color rgb="FFFFFF00"/>
      <name val="Aptos Narrow"/>
      <family val="2"/>
      <scheme val="minor"/>
    </font>
    <font>
      <sz val="26"/>
      <color rgb="FFFFFF00"/>
      <name val="Aptos Narrow"/>
    </font>
    <font>
      <sz val="16"/>
      <color rgb="FFFF0000"/>
      <name val="Aptos Narrow"/>
      <family val="2"/>
      <scheme val="minor"/>
    </font>
    <font>
      <sz val="16"/>
      <color rgb="FFFFC000"/>
      <name val="Aptos Narrow"/>
      <family val="2"/>
      <scheme val="minor"/>
    </font>
    <font>
      <sz val="16"/>
      <color rgb="FF92D050"/>
      <name val="Aptos Narrow"/>
      <family val="2"/>
      <scheme val="minor"/>
    </font>
    <font>
      <b/>
      <sz val="16"/>
      <color theme="6" tint="0.39997558519241921"/>
      <name val="Aptos Narrow"/>
      <family val="2"/>
      <scheme val="minor"/>
    </font>
    <font>
      <sz val="16"/>
      <color theme="6" tint="0.39997558519241921"/>
      <name val="Aptos Narrow"/>
      <family val="2"/>
      <scheme val="minor"/>
    </font>
    <font>
      <b/>
      <sz val="16"/>
      <color rgb="FF00B050"/>
      <name val="Aptos Narrow"/>
      <family val="2"/>
      <scheme val="minor"/>
    </font>
    <font>
      <u/>
      <sz val="16"/>
      <color theme="1"/>
      <name val="Aptos Narrow"/>
      <family val="2"/>
      <scheme val="minor"/>
    </font>
    <font>
      <b/>
      <u/>
      <sz val="16"/>
      <color rgb="FFFF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6"/>
      <color rgb="FF000000"/>
      <name val="Aptos Narrow"/>
      <scheme val="minor"/>
    </font>
    <font>
      <sz val="16"/>
      <color rgb="FF000000"/>
      <name val="Aptos Narrow"/>
    </font>
    <font>
      <sz val="16"/>
      <color rgb="FF000000"/>
      <name val="Aptos Narrow"/>
      <family val="2"/>
      <scheme val="minor"/>
    </font>
    <font>
      <b/>
      <sz val="26"/>
      <color rgb="FF000000"/>
      <name val="Aptos Narrow"/>
      <scheme val="minor"/>
    </font>
    <font>
      <sz val="36"/>
      <color theme="1"/>
      <name val="Aptos Narrow"/>
      <family val="2"/>
      <scheme val="minor"/>
    </font>
    <font>
      <sz val="20"/>
      <color rgb="FFFFFF00"/>
      <name val="Aptos Narrow"/>
      <family val="2"/>
      <scheme val="minor"/>
    </font>
    <font>
      <b/>
      <sz val="20"/>
      <color theme="8" tint="0.39997558519241921"/>
      <name val="Aptos Narrow"/>
      <family val="2"/>
      <scheme val="minor"/>
    </font>
    <font>
      <u/>
      <sz val="28"/>
      <color rgb="FFFF0000"/>
      <name val="Aptos Narrow"/>
      <family val="2"/>
      <scheme val="minor"/>
    </font>
    <font>
      <b/>
      <sz val="24"/>
      <color rgb="FFFF0000"/>
      <name val="Aptos Narrow"/>
    </font>
    <font>
      <b/>
      <sz val="26"/>
      <color rgb="FF000000"/>
      <name val="Aptos Narrow"/>
      <family val="2"/>
      <scheme val="minor"/>
    </font>
    <font>
      <b/>
      <sz val="24"/>
      <color theme="9"/>
      <name val="Aptos Narrow"/>
      <family val="2"/>
      <scheme val="minor"/>
    </font>
    <font>
      <sz val="24"/>
      <color theme="4" tint="0.39997558519241921"/>
      <name val="Aptos Narrow"/>
      <family val="2"/>
      <scheme val="minor"/>
    </font>
    <font>
      <b/>
      <sz val="28"/>
      <color rgb="FF0070C0"/>
      <name val="Aptos Narrow"/>
      <family val="2"/>
      <scheme val="minor"/>
    </font>
    <font>
      <sz val="36"/>
      <color rgb="FFFF0000"/>
      <name val="Aptos Narrow"/>
      <family val="2"/>
      <scheme val="minor"/>
    </font>
    <font>
      <b/>
      <sz val="36"/>
      <color rgb="FFFF0000"/>
      <name val="Aptos Narrow"/>
    </font>
    <font>
      <sz val="48"/>
      <color rgb="FFFF0000"/>
      <name val="UICTFontTextStyleBody"/>
      <charset val="1"/>
    </font>
    <font>
      <sz val="49"/>
      <color theme="1"/>
      <name val="Aptos Narrow"/>
      <family val="2"/>
      <scheme val="minor"/>
    </font>
    <font>
      <sz val="48"/>
      <color theme="1"/>
      <name val="UICTFontTextStyleBody"/>
    </font>
    <font>
      <sz val="36"/>
      <color theme="0"/>
      <name val="Aptos Narrow"/>
      <family val="2"/>
      <scheme val="minor"/>
    </font>
    <font>
      <sz val="26"/>
      <color theme="0"/>
      <name val="Aptos Narrow"/>
      <family val="2"/>
      <scheme val="minor"/>
    </font>
    <font>
      <sz val="28"/>
      <color rgb="FFFF0000"/>
      <name val="Georgia"/>
      <family val="1"/>
    </font>
    <font>
      <sz val="8"/>
      <color rgb="FFFFFF00"/>
      <name val="UICTFontTextStyleBody"/>
      <charset val="1"/>
    </font>
    <font>
      <sz val="9"/>
      <color theme="0"/>
      <name val="Aptos Narrow"/>
      <family val="2"/>
      <scheme val="minor"/>
    </font>
    <font>
      <b/>
      <sz val="36"/>
      <color rgb="FFFFFF00"/>
      <name val="Apple Symbols"/>
    </font>
    <font>
      <sz val="8"/>
      <color rgb="FFFFFF0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48"/>
      <color theme="8" tint="0.39997558519241921"/>
      <name val="Aptos Narrow"/>
      <family val="2"/>
      <scheme val="minor"/>
    </font>
    <font>
      <b/>
      <sz val="8"/>
      <color rgb="FFFF0000"/>
      <name val="Apple Symbols"/>
    </font>
    <font>
      <sz val="28"/>
      <color theme="9" tint="0.59999389629810485"/>
      <name val="Aptos Narrow"/>
      <family val="2"/>
      <scheme val="minor"/>
    </font>
    <font>
      <sz val="8"/>
      <color theme="8" tint="0.39997558519241921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28"/>
      <color theme="0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28"/>
      <color rgb="FFFFFF00"/>
      <name val="Aptos Narrow"/>
      <family val="2"/>
      <scheme val="minor"/>
    </font>
    <font>
      <sz val="28"/>
      <color theme="7"/>
      <name val="Aptos Narrow"/>
      <family val="2"/>
      <scheme val="minor"/>
    </font>
    <font>
      <b/>
      <sz val="36"/>
      <color theme="1"/>
      <name val="Consolas"/>
    </font>
    <font>
      <b/>
      <sz val="20"/>
      <color theme="1"/>
      <name val="Aptos Narrow"/>
      <family val="2"/>
      <scheme val="minor"/>
    </font>
    <font>
      <sz val="20"/>
      <color rgb="FF000000"/>
      <name val="Aptos Narrow"/>
      <scheme val="minor"/>
    </font>
    <font>
      <b/>
      <sz val="18"/>
      <color theme="1"/>
      <name val="Aptos Narrow"/>
      <scheme val="minor"/>
    </font>
    <font>
      <sz val="26"/>
      <color theme="3"/>
      <name val="Consolas"/>
    </font>
    <font>
      <b/>
      <sz val="20"/>
      <color theme="1"/>
      <name val="Aptos Narrow"/>
      <scheme val="minor"/>
    </font>
    <font>
      <b/>
      <sz val="28"/>
      <color theme="3"/>
      <name val="Consolas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B3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45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/>
    <xf numFmtId="0" fontId="1" fillId="0" borderId="1" xfId="0" applyFont="1" applyBorder="1"/>
    <xf numFmtId="0" fontId="1" fillId="3" borderId="1" xfId="0" applyFont="1" applyFill="1" applyBorder="1"/>
    <xf numFmtId="0" fontId="2" fillId="3" borderId="1" xfId="0" applyFont="1" applyFill="1" applyBorder="1"/>
    <xf numFmtId="0" fontId="5" fillId="0" borderId="1" xfId="0" applyFont="1" applyBorder="1"/>
    <xf numFmtId="0" fontId="1" fillId="4" borderId="1" xfId="0" applyFont="1" applyFill="1" applyBorder="1" applyAlignment="1">
      <alignment wrapText="1"/>
    </xf>
    <xf numFmtId="0" fontId="3" fillId="5" borderId="1" xfId="0" applyFont="1" applyFill="1" applyBorder="1"/>
    <xf numFmtId="0" fontId="1" fillId="6" borderId="1" xfId="0" applyFont="1" applyFill="1" applyBorder="1" applyAlignment="1">
      <alignment wrapText="1"/>
    </xf>
    <xf numFmtId="0" fontId="1" fillId="4" borderId="1" xfId="0" applyFont="1" applyFill="1" applyBorder="1"/>
    <xf numFmtId="0" fontId="1" fillId="2" borderId="1" xfId="0" applyFont="1" applyFill="1" applyBorder="1" applyAlignment="1">
      <alignment wrapText="1"/>
    </xf>
    <xf numFmtId="0" fontId="3" fillId="7" borderId="1" xfId="0" applyFont="1" applyFill="1" applyBorder="1"/>
    <xf numFmtId="0" fontId="0" fillId="8" borderId="0" xfId="0" applyFill="1"/>
    <xf numFmtId="0" fontId="6" fillId="0" borderId="0" xfId="0" applyFont="1"/>
    <xf numFmtId="0" fontId="7" fillId="0" borderId="1" xfId="0" applyFont="1" applyBorder="1"/>
    <xf numFmtId="0" fontId="8" fillId="0" borderId="1" xfId="0" applyFont="1" applyBorder="1"/>
    <xf numFmtId="0" fontId="3" fillId="9" borderId="1" xfId="0" applyFont="1" applyFill="1" applyBorder="1"/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9" fillId="10" borderId="1" xfId="0" applyFont="1" applyFill="1" applyBorder="1"/>
    <xf numFmtId="0" fontId="9" fillId="11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8" fillId="0" borderId="0" xfId="0" applyFont="1"/>
    <xf numFmtId="0" fontId="13" fillId="2" borderId="1" xfId="0" applyFont="1" applyFill="1" applyBorder="1"/>
    <xf numFmtId="0" fontId="11" fillId="0" borderId="1" xfId="0" applyFont="1" applyBorder="1"/>
    <xf numFmtId="0" fontId="14" fillId="3" borderId="1" xfId="0" applyFont="1" applyFill="1" applyBorder="1"/>
    <xf numFmtId="0" fontId="15" fillId="0" borderId="1" xfId="0" applyFont="1" applyBorder="1"/>
    <xf numFmtId="0" fontId="8" fillId="4" borderId="1" xfId="0" applyFont="1" applyFill="1" applyBorder="1" applyAlignment="1">
      <alignment wrapText="1"/>
    </xf>
    <xf numFmtId="0" fontId="11" fillId="5" borderId="1" xfId="0" applyFont="1" applyFill="1" applyBorder="1"/>
    <xf numFmtId="0" fontId="16" fillId="3" borderId="1" xfId="0" applyFont="1" applyFill="1" applyBorder="1"/>
    <xf numFmtId="0" fontId="11" fillId="6" borderId="1" xfId="0" applyFont="1" applyFill="1" applyBorder="1" applyAlignment="1">
      <alignment wrapText="1"/>
    </xf>
    <xf numFmtId="0" fontId="11" fillId="4" borderId="1" xfId="0" applyFont="1" applyFill="1" applyBorder="1"/>
    <xf numFmtId="0" fontId="8" fillId="2" borderId="1" xfId="0" applyFont="1" applyFill="1" applyBorder="1" applyAlignment="1">
      <alignment wrapText="1"/>
    </xf>
    <xf numFmtId="0" fontId="11" fillId="7" borderId="1" xfId="0" applyFont="1" applyFill="1" applyBorder="1"/>
    <xf numFmtId="0" fontId="10" fillId="3" borderId="1" xfId="0" applyFont="1" applyFill="1" applyBorder="1"/>
    <xf numFmtId="0" fontId="17" fillId="2" borderId="2" xfId="0" applyFont="1" applyFill="1" applyBorder="1"/>
    <xf numFmtId="0" fontId="8" fillId="0" borderId="2" xfId="0" applyFont="1" applyBorder="1"/>
    <xf numFmtId="0" fontId="17" fillId="0" borderId="2" xfId="0" applyFont="1" applyBorder="1"/>
    <xf numFmtId="0" fontId="17" fillId="3" borderId="2" xfId="0" applyFont="1" applyFill="1" applyBorder="1"/>
    <xf numFmtId="0" fontId="18" fillId="3" borderId="2" xfId="0" applyFont="1" applyFill="1" applyBorder="1"/>
    <xf numFmtId="0" fontId="19" fillId="0" borderId="2" xfId="0" applyFont="1" applyBorder="1"/>
    <xf numFmtId="0" fontId="17" fillId="4" borderId="2" xfId="0" applyFont="1" applyFill="1" applyBorder="1" applyAlignment="1">
      <alignment wrapText="1"/>
    </xf>
    <xf numFmtId="0" fontId="17" fillId="5" borderId="2" xfId="0" applyFont="1" applyFill="1" applyBorder="1"/>
    <xf numFmtId="0" fontId="17" fillId="6" borderId="2" xfId="0" applyFont="1" applyFill="1" applyBorder="1" applyAlignment="1">
      <alignment wrapText="1"/>
    </xf>
    <xf numFmtId="0" fontId="17" fillId="4" borderId="2" xfId="0" applyFont="1" applyFill="1" applyBorder="1"/>
    <xf numFmtId="0" fontId="17" fillId="2" borderId="2" xfId="0" applyFont="1" applyFill="1" applyBorder="1" applyAlignment="1">
      <alignment wrapText="1"/>
    </xf>
    <xf numFmtId="0" fontId="3" fillId="0" borderId="2" xfId="0" applyFont="1" applyBorder="1"/>
    <xf numFmtId="0" fontId="7" fillId="0" borderId="2" xfId="0" applyFont="1" applyBorder="1"/>
    <xf numFmtId="0" fontId="8" fillId="8" borderId="2" xfId="0" applyFont="1" applyFill="1" applyBorder="1"/>
    <xf numFmtId="0" fontId="17" fillId="9" borderId="2" xfId="0" applyFont="1" applyFill="1" applyBorder="1"/>
    <xf numFmtId="0" fontId="9" fillId="0" borderId="2" xfId="0" applyFont="1" applyBorder="1"/>
    <xf numFmtId="0" fontId="20" fillId="0" borderId="2" xfId="0" applyFont="1" applyBorder="1" applyAlignment="1">
      <alignment wrapText="1"/>
    </xf>
    <xf numFmtId="0" fontId="20" fillId="0" borderId="2" xfId="0" applyFont="1" applyBorder="1"/>
    <xf numFmtId="0" fontId="17" fillId="2" borderId="3" xfId="0" applyFont="1" applyFill="1" applyBorder="1"/>
    <xf numFmtId="0" fontId="20" fillId="0" borderId="3" xfId="0" applyFont="1" applyBorder="1" applyAlignment="1">
      <alignment wrapText="1"/>
    </xf>
    <xf numFmtId="0" fontId="8" fillId="0" borderId="3" xfId="0" applyFont="1" applyBorder="1"/>
    <xf numFmtId="0" fontId="18" fillId="2" borderId="4" xfId="0" applyFont="1" applyFill="1" applyBorder="1"/>
    <xf numFmtId="0" fontId="8" fillId="0" borderId="4" xfId="0" applyFont="1" applyBorder="1"/>
    <xf numFmtId="0" fontId="21" fillId="0" borderId="2" xfId="0" applyFont="1" applyBorder="1" applyAlignment="1">
      <alignment wrapText="1"/>
    </xf>
    <xf numFmtId="0" fontId="20" fillId="10" borderId="2" xfId="0" applyFont="1" applyFill="1" applyBorder="1"/>
    <xf numFmtId="0" fontId="14" fillId="0" borderId="2" xfId="0" applyFont="1" applyBorder="1"/>
    <xf numFmtId="0" fontId="20" fillId="11" borderId="2" xfId="0" applyFont="1" applyFill="1" applyBorder="1"/>
    <xf numFmtId="0" fontId="18" fillId="2" borderId="5" xfId="0" applyFont="1" applyFill="1" applyBorder="1"/>
    <xf numFmtId="0" fontId="8" fillId="0" borderId="6" xfId="0" applyFont="1" applyBorder="1"/>
    <xf numFmtId="0" fontId="18" fillId="2" borderId="1" xfId="0" applyFont="1" applyFill="1" applyBorder="1"/>
    <xf numFmtId="0" fontId="0" fillId="0" borderId="1" xfId="0" applyBorder="1"/>
    <xf numFmtId="0" fontId="8" fillId="0" borderId="5" xfId="0" applyFont="1" applyBorder="1"/>
    <xf numFmtId="0" fontId="0" fillId="0" borderId="7" xfId="0" applyBorder="1"/>
    <xf numFmtId="0" fontId="17" fillId="2" borderId="6" xfId="0" applyFont="1" applyFill="1" applyBorder="1"/>
    <xf numFmtId="0" fontId="17" fillId="2" borderId="8" xfId="0" applyFont="1" applyFill="1" applyBorder="1"/>
    <xf numFmtId="0" fontId="0" fillId="0" borderId="11" xfId="0" applyBorder="1"/>
    <xf numFmtId="0" fontId="17" fillId="0" borderId="4" xfId="0" applyFont="1" applyBorder="1"/>
    <xf numFmtId="0" fontId="17" fillId="0" borderId="2" xfId="0" applyFont="1" applyBorder="1" applyAlignment="1">
      <alignment wrapText="1"/>
    </xf>
    <xf numFmtId="0" fontId="17" fillId="0" borderId="3" xfId="0" applyFont="1" applyBorder="1" applyAlignment="1">
      <alignment wrapText="1"/>
    </xf>
    <xf numFmtId="0" fontId="17" fillId="10" borderId="2" xfId="0" applyFont="1" applyFill="1" applyBorder="1"/>
    <xf numFmtId="0" fontId="17" fillId="11" borderId="2" xfId="0" applyFont="1" applyFill="1" applyBorder="1"/>
    <xf numFmtId="0" fontId="17" fillId="11" borderId="3" xfId="0" applyFont="1" applyFill="1" applyBorder="1"/>
    <xf numFmtId="0" fontId="17" fillId="0" borderId="0" xfId="0" applyFont="1" applyAlignment="1">
      <alignment wrapText="1"/>
    </xf>
    <xf numFmtId="0" fontId="18" fillId="2" borderId="2" xfId="0" applyFont="1" applyFill="1" applyBorder="1" applyAlignment="1">
      <alignment wrapText="1"/>
    </xf>
    <xf numFmtId="0" fontId="22" fillId="2" borderId="9" xfId="0" applyFont="1" applyFill="1" applyBorder="1"/>
    <xf numFmtId="0" fontId="22" fillId="2" borderId="10" xfId="0" applyFont="1" applyFill="1" applyBorder="1"/>
    <xf numFmtId="0" fontId="22" fillId="2" borderId="2" xfId="0" applyFont="1" applyFill="1" applyBorder="1"/>
    <xf numFmtId="0" fontId="23" fillId="2" borderId="2" xfId="0" applyFont="1" applyFill="1" applyBorder="1"/>
    <xf numFmtId="0" fontId="24" fillId="2" borderId="5" xfId="0" applyFont="1" applyFill="1" applyBorder="1"/>
    <xf numFmtId="0" fontId="20" fillId="2" borderId="2" xfId="0" applyFont="1" applyFill="1" applyBorder="1"/>
    <xf numFmtId="0" fontId="17" fillId="12" borderId="10" xfId="0" applyFont="1" applyFill="1" applyBorder="1"/>
    <xf numFmtId="0" fontId="17" fillId="13" borderId="6" xfId="0" applyFont="1" applyFill="1" applyBorder="1"/>
    <xf numFmtId="0" fontId="17" fillId="14" borderId="6" xfId="0" applyFont="1" applyFill="1" applyBorder="1"/>
    <xf numFmtId="0" fontId="17" fillId="4" borderId="6" xfId="0" applyFont="1" applyFill="1" applyBorder="1"/>
    <xf numFmtId="0" fontId="17" fillId="4" borderId="8" xfId="0" applyFont="1" applyFill="1" applyBorder="1"/>
    <xf numFmtId="0" fontId="17" fillId="14" borderId="2" xfId="0" applyFont="1" applyFill="1" applyBorder="1"/>
    <xf numFmtId="0" fontId="22" fillId="2" borderId="1" xfId="0" applyFont="1" applyFill="1" applyBorder="1"/>
    <xf numFmtId="0" fontId="22" fillId="2" borderId="4" xfId="0" applyFont="1" applyFill="1" applyBorder="1"/>
    <xf numFmtId="0" fontId="24" fillId="3" borderId="2" xfId="0" applyFont="1" applyFill="1" applyBorder="1" applyAlignment="1">
      <alignment horizontal="left"/>
    </xf>
    <xf numFmtId="0" fontId="25" fillId="2" borderId="2" xfId="0" applyFont="1" applyFill="1" applyBorder="1"/>
    <xf numFmtId="0" fontId="26" fillId="13" borderId="1" xfId="0" applyFont="1" applyFill="1" applyBorder="1"/>
    <xf numFmtId="0" fontId="26" fillId="0" borderId="1" xfId="0" applyFont="1" applyBorder="1"/>
    <xf numFmtId="0" fontId="26" fillId="15" borderId="1" xfId="0" applyFont="1" applyFill="1" applyBorder="1"/>
    <xf numFmtId="0" fontId="17" fillId="0" borderId="6" xfId="0" applyFont="1" applyBorder="1"/>
    <xf numFmtId="0" fontId="17" fillId="0" borderId="3" xfId="0" applyFont="1" applyBorder="1"/>
    <xf numFmtId="0" fontId="27" fillId="2" borderId="1" xfId="0" applyFont="1" applyFill="1" applyBorder="1"/>
    <xf numFmtId="0" fontId="27" fillId="13" borderId="1" xfId="0" applyFont="1" applyFill="1" applyBorder="1"/>
    <xf numFmtId="0" fontId="27" fillId="15" borderId="1" xfId="0" applyFont="1" applyFill="1" applyBorder="1"/>
    <xf numFmtId="0" fontId="28" fillId="0" borderId="0" xfId="0" applyFont="1"/>
    <xf numFmtId="0" fontId="24" fillId="2" borderId="5" xfId="0" applyFont="1" applyFill="1" applyBorder="1" applyAlignment="1">
      <alignment horizontal="left" indent="2"/>
    </xf>
    <xf numFmtId="0" fontId="17" fillId="2" borderId="3" xfId="0" applyFont="1" applyFill="1" applyBorder="1" applyAlignment="1">
      <alignment wrapText="1"/>
    </xf>
    <xf numFmtId="0" fontId="17" fillId="0" borderId="5" xfId="0" applyFont="1" applyBorder="1"/>
    <xf numFmtId="0" fontId="29" fillId="16" borderId="2" xfId="0" applyFont="1" applyFill="1" applyBorder="1"/>
    <xf numFmtId="0" fontId="18" fillId="17" borderId="2" xfId="0" applyFont="1" applyFill="1" applyBorder="1"/>
    <xf numFmtId="0" fontId="18" fillId="17" borderId="3" xfId="0" applyFont="1" applyFill="1" applyBorder="1"/>
    <xf numFmtId="0" fontId="17" fillId="2" borderId="5" xfId="0" applyFont="1" applyFill="1" applyBorder="1"/>
    <xf numFmtId="0" fontId="25" fillId="2" borderId="5" xfId="0" applyFont="1" applyFill="1" applyBorder="1"/>
    <xf numFmtId="0" fontId="30" fillId="2" borderId="2" xfId="0" applyFont="1" applyFill="1" applyBorder="1"/>
    <xf numFmtId="0" fontId="31" fillId="2" borderId="2" xfId="0" applyFont="1" applyFill="1" applyBorder="1"/>
    <xf numFmtId="0" fontId="18" fillId="18" borderId="5" xfId="0" applyFont="1" applyFill="1" applyBorder="1"/>
    <xf numFmtId="0" fontId="33" fillId="0" borderId="0" xfId="0" applyFont="1" applyAlignment="1">
      <alignment wrapText="1"/>
    </xf>
    <xf numFmtId="20" fontId="33" fillId="0" borderId="0" xfId="0" applyNumberFormat="1" applyFont="1" applyAlignment="1">
      <alignment wrapText="1"/>
    </xf>
    <xf numFmtId="0" fontId="25" fillId="2" borderId="5" xfId="0" applyFont="1" applyFill="1" applyBorder="1" applyAlignment="1">
      <alignment wrapText="1"/>
    </xf>
    <xf numFmtId="0" fontId="36" fillId="18" borderId="1" xfId="0" applyFont="1" applyFill="1" applyBorder="1"/>
    <xf numFmtId="0" fontId="26" fillId="0" borderId="7" xfId="0" applyFont="1" applyBorder="1"/>
    <xf numFmtId="0" fontId="18" fillId="18" borderId="8" xfId="0" applyFont="1" applyFill="1" applyBorder="1"/>
    <xf numFmtId="0" fontId="38" fillId="2" borderId="1" xfId="0" applyFont="1" applyFill="1" applyBorder="1"/>
    <xf numFmtId="0" fontId="39" fillId="2" borderId="1" xfId="0" applyFont="1" applyFill="1" applyBorder="1" applyAlignment="1">
      <alignment wrapText="1"/>
    </xf>
    <xf numFmtId="0" fontId="39" fillId="2" borderId="1" xfId="0" applyFont="1" applyFill="1" applyBorder="1"/>
    <xf numFmtId="0" fontId="0" fillId="0" borderId="1" xfId="0" applyBorder="1" applyAlignment="1">
      <alignment wrapText="1"/>
    </xf>
    <xf numFmtId="0" fontId="32" fillId="0" borderId="1" xfId="0" applyFont="1" applyBorder="1"/>
    <xf numFmtId="0" fontId="9" fillId="2" borderId="1" xfId="0" applyFont="1" applyFill="1" applyBorder="1"/>
    <xf numFmtId="0" fontId="37" fillId="2" borderId="1" xfId="0" applyFont="1" applyFill="1" applyBorder="1"/>
    <xf numFmtId="0" fontId="10" fillId="2" borderId="1" xfId="0" applyFont="1" applyFill="1" applyBorder="1"/>
    <xf numFmtId="0" fontId="34" fillId="0" borderId="1" xfId="0" applyFont="1" applyBorder="1" applyAlignment="1">
      <alignment wrapText="1"/>
    </xf>
    <xf numFmtId="0" fontId="35" fillId="0" borderId="1" xfId="0" applyFont="1" applyBorder="1" applyAlignment="1">
      <alignment wrapText="1"/>
    </xf>
    <xf numFmtId="0" fontId="35" fillId="3" borderId="1" xfId="0" applyFont="1" applyFill="1" applyBorder="1" applyAlignment="1">
      <alignment wrapText="1"/>
    </xf>
    <xf numFmtId="0" fontId="35" fillId="2" borderId="1" xfId="0" applyFont="1" applyFill="1" applyBorder="1" applyAlignment="1">
      <alignment wrapText="1"/>
    </xf>
    <xf numFmtId="20" fontId="33" fillId="0" borderId="1" xfId="0" applyNumberFormat="1" applyFont="1" applyBorder="1" applyAlignment="1">
      <alignment wrapText="1"/>
    </xf>
    <xf numFmtId="20" fontId="33" fillId="3" borderId="1" xfId="0" applyNumberFormat="1" applyFont="1" applyFill="1" applyBorder="1" applyAlignment="1">
      <alignment wrapText="1"/>
    </xf>
    <xf numFmtId="0" fontId="33" fillId="2" borderId="1" xfId="0" applyFont="1" applyFill="1" applyBorder="1" applyAlignment="1">
      <alignment wrapText="1"/>
    </xf>
    <xf numFmtId="0" fontId="33" fillId="0" borderId="1" xfId="0" applyFont="1" applyBorder="1" applyAlignment="1">
      <alignment wrapText="1"/>
    </xf>
    <xf numFmtId="0" fontId="36" fillId="2" borderId="1" xfId="0" applyFont="1" applyFill="1" applyBorder="1"/>
    <xf numFmtId="0" fontId="0" fillId="0" borderId="12" xfId="0" applyBorder="1"/>
    <xf numFmtId="0" fontId="40" fillId="0" borderId="1" xfId="0" applyFont="1" applyBorder="1"/>
    <xf numFmtId="0" fontId="41" fillId="0" borderId="7" xfId="0" applyFont="1" applyBorder="1"/>
    <xf numFmtId="0" fontId="40" fillId="0" borderId="7" xfId="0" applyFont="1" applyBorder="1"/>
    <xf numFmtId="0" fontId="41" fillId="19" borderId="1" xfId="0" applyFont="1" applyFill="1" applyBorder="1"/>
    <xf numFmtId="0" fontId="41" fillId="12" borderId="1" xfId="0" applyFont="1" applyFill="1" applyBorder="1"/>
    <xf numFmtId="0" fontId="41" fillId="7" borderId="1" xfId="0" applyFont="1" applyFill="1" applyBorder="1"/>
    <xf numFmtId="0" fontId="42" fillId="2" borderId="1" xfId="0" applyFont="1" applyFill="1" applyBorder="1"/>
    <xf numFmtId="0" fontId="42" fillId="0" borderId="1" xfId="0" applyFont="1" applyBorder="1"/>
    <xf numFmtId="0" fontId="42" fillId="19" borderId="1" xfId="0" applyFont="1" applyFill="1" applyBorder="1"/>
    <xf numFmtId="0" fontId="43" fillId="2" borderId="1" xfId="0" applyFont="1" applyFill="1" applyBorder="1"/>
    <xf numFmtId="0" fontId="43" fillId="0" borderId="1" xfId="0" applyFont="1" applyBorder="1"/>
    <xf numFmtId="0" fontId="50" fillId="18" borderId="1" xfId="0" applyFont="1" applyFill="1" applyBorder="1"/>
    <xf numFmtId="0" fontId="44" fillId="0" borderId="1" xfId="0" applyFont="1" applyBorder="1"/>
    <xf numFmtId="0" fontId="46" fillId="0" borderId="1" xfId="0" applyFont="1" applyBorder="1"/>
    <xf numFmtId="0" fontId="47" fillId="0" borderId="1" xfId="0" applyFont="1" applyBorder="1" applyAlignment="1">
      <alignment wrapText="1"/>
    </xf>
    <xf numFmtId="0" fontId="49" fillId="0" borderId="1" xfId="0" applyFont="1" applyBorder="1"/>
    <xf numFmtId="0" fontId="48" fillId="0" borderId="1" xfId="0" applyFont="1" applyBorder="1"/>
    <xf numFmtId="0" fontId="45" fillId="0" borderId="1" xfId="0" applyFont="1" applyBorder="1"/>
    <xf numFmtId="0" fontId="2" fillId="21" borderId="1" xfId="0" applyFont="1" applyFill="1" applyBorder="1" applyAlignment="1">
      <alignment wrapText="1"/>
    </xf>
    <xf numFmtId="0" fontId="51" fillId="2" borderId="1" xfId="0" applyFont="1" applyFill="1" applyBorder="1" applyAlignment="1">
      <alignment wrapText="1"/>
    </xf>
    <xf numFmtId="0" fontId="51" fillId="2" borderId="1" xfId="0" applyFont="1" applyFill="1" applyBorder="1"/>
    <xf numFmtId="0" fontId="51" fillId="19" borderId="1" xfId="0" applyFont="1" applyFill="1" applyBorder="1"/>
    <xf numFmtId="0" fontId="51" fillId="20" borderId="1" xfId="0" applyFont="1" applyFill="1" applyBorder="1" applyAlignment="1">
      <alignment wrapText="1"/>
    </xf>
    <xf numFmtId="0" fontId="53" fillId="2" borderId="1" xfId="0" applyFont="1" applyFill="1" applyBorder="1" applyAlignment="1">
      <alignment wrapText="1"/>
    </xf>
    <xf numFmtId="0" fontId="53" fillId="16" borderId="1" xfId="0" applyFont="1" applyFill="1" applyBorder="1"/>
    <xf numFmtId="0" fontId="48" fillId="0" borderId="7" xfId="0" applyFont="1" applyBorder="1"/>
    <xf numFmtId="20" fontId="38" fillId="0" borderId="1" xfId="0" applyNumberFormat="1" applyFont="1" applyBorder="1"/>
    <xf numFmtId="20" fontId="38" fillId="2" borderId="1" xfId="0" applyNumberFormat="1" applyFont="1" applyFill="1" applyBorder="1"/>
    <xf numFmtId="20" fontId="38" fillId="9" borderId="1" xfId="0" applyNumberFormat="1" applyFont="1" applyFill="1" applyBorder="1"/>
    <xf numFmtId="0" fontId="38" fillId="22" borderId="1" xfId="0" applyFont="1" applyFill="1" applyBorder="1"/>
    <xf numFmtId="0" fontId="39" fillId="16" borderId="1" xfId="0" applyFont="1" applyFill="1" applyBorder="1"/>
    <xf numFmtId="0" fontId="54" fillId="2" borderId="1" xfId="0" applyFont="1" applyFill="1" applyBorder="1"/>
    <xf numFmtId="0" fontId="55" fillId="0" borderId="1" xfId="0" applyFont="1" applyBorder="1"/>
    <xf numFmtId="0" fontId="55" fillId="9" borderId="1" xfId="0" applyFont="1" applyFill="1" applyBorder="1"/>
    <xf numFmtId="0" fontId="55" fillId="22" borderId="1" xfId="0" applyFont="1" applyFill="1" applyBorder="1"/>
    <xf numFmtId="0" fontId="54" fillId="16" borderId="1" xfId="0" applyFont="1" applyFill="1" applyBorder="1"/>
    <xf numFmtId="0" fontId="54" fillId="20" borderId="1" xfId="0" applyFont="1" applyFill="1" applyBorder="1"/>
    <xf numFmtId="0" fontId="40" fillId="0" borderId="12" xfId="0" applyFont="1" applyBorder="1"/>
    <xf numFmtId="0" fontId="40" fillId="0" borderId="13" xfId="0" applyFont="1" applyBorder="1"/>
    <xf numFmtId="0" fontId="0" fillId="0" borderId="14" xfId="0" applyBorder="1"/>
    <xf numFmtId="0" fontId="39" fillId="20" borderId="1" xfId="0" applyFont="1" applyFill="1" applyBorder="1"/>
    <xf numFmtId="0" fontId="58" fillId="20" borderId="1" xfId="0" applyFont="1" applyFill="1" applyBorder="1"/>
    <xf numFmtId="0" fontId="58" fillId="20" borderId="1" xfId="0" applyFont="1" applyFill="1" applyBorder="1" applyAlignment="1">
      <alignment wrapText="1"/>
    </xf>
    <xf numFmtId="0" fontId="56" fillId="0" borderId="1" xfId="0" applyFont="1" applyBorder="1"/>
    <xf numFmtId="0" fontId="57" fillId="0" borderId="1" xfId="0" applyFont="1" applyBorder="1"/>
    <xf numFmtId="0" fontId="52" fillId="0" borderId="1" xfId="0" applyFont="1" applyBorder="1" applyAlignment="1">
      <alignment wrapText="1"/>
    </xf>
    <xf numFmtId="0" fontId="59" fillId="18" borderId="1" xfId="0" applyFont="1" applyFill="1" applyBorder="1"/>
    <xf numFmtId="0" fontId="58" fillId="18" borderId="0" xfId="0" applyFont="1" applyFill="1"/>
    <xf numFmtId="0" fontId="51" fillId="19" borderId="1" xfId="0" applyFont="1" applyFill="1" applyBorder="1" applyAlignment="1">
      <alignment wrapText="1"/>
    </xf>
    <xf numFmtId="0" fontId="60" fillId="20" borderId="1" xfId="0" applyFont="1" applyFill="1" applyBorder="1" applyAlignment="1">
      <alignment wrapText="1"/>
    </xf>
    <xf numFmtId="0" fontId="58" fillId="23" borderId="1" xfId="0" applyFont="1" applyFill="1" applyBorder="1"/>
    <xf numFmtId="0" fontId="61" fillId="16" borderId="1" xfId="0" applyFont="1" applyFill="1" applyBorder="1" applyAlignment="1">
      <alignment wrapText="1"/>
    </xf>
    <xf numFmtId="0" fontId="62" fillId="16" borderId="1" xfId="0" applyFont="1" applyFill="1" applyBorder="1" applyAlignment="1">
      <alignment wrapText="1"/>
    </xf>
    <xf numFmtId="0" fontId="2" fillId="18" borderId="1" xfId="0" applyFont="1" applyFill="1" applyBorder="1" applyAlignment="1">
      <alignment wrapText="1"/>
    </xf>
    <xf numFmtId="0" fontId="59" fillId="24" borderId="1" xfId="0" applyFont="1" applyFill="1" applyBorder="1" applyAlignment="1">
      <alignment wrapText="1"/>
    </xf>
    <xf numFmtId="0" fontId="10" fillId="18" borderId="1" xfId="0" applyFont="1" applyFill="1" applyBorder="1" applyAlignment="1">
      <alignment wrapText="1"/>
    </xf>
    <xf numFmtId="0" fontId="64" fillId="18" borderId="1" xfId="0" applyFont="1" applyFill="1" applyBorder="1" applyAlignment="1">
      <alignment wrapText="1"/>
    </xf>
    <xf numFmtId="0" fontId="66" fillId="2" borderId="1" xfId="0" applyFont="1" applyFill="1" applyBorder="1" applyAlignment="1">
      <alignment wrapText="1"/>
    </xf>
    <xf numFmtId="0" fontId="67" fillId="18" borderId="1" xfId="0" applyFont="1" applyFill="1" applyBorder="1" applyAlignment="1">
      <alignment wrapText="1"/>
    </xf>
    <xf numFmtId="0" fontId="0" fillId="0" borderId="13" xfId="0" applyBorder="1"/>
    <xf numFmtId="0" fontId="63" fillId="2" borderId="1" xfId="0" applyFont="1" applyFill="1" applyBorder="1"/>
    <xf numFmtId="0" fontId="58" fillId="18" borderId="1" xfId="0" applyFont="1" applyFill="1" applyBorder="1" applyAlignment="1">
      <alignment wrapText="1"/>
    </xf>
    <xf numFmtId="0" fontId="3" fillId="25" borderId="1" xfId="0" applyFont="1" applyFill="1" applyBorder="1" applyAlignment="1">
      <alignment wrapText="1"/>
    </xf>
    <xf numFmtId="0" fontId="68" fillId="0" borderId="1" xfId="0" applyFont="1" applyBorder="1"/>
    <xf numFmtId="0" fontId="68" fillId="2" borderId="1" xfId="0" applyFont="1" applyFill="1" applyBorder="1"/>
    <xf numFmtId="0" fontId="2" fillId="18" borderId="14" xfId="0" applyFont="1" applyFill="1" applyBorder="1" applyAlignment="1">
      <alignment wrapText="1"/>
    </xf>
    <xf numFmtId="0" fontId="51" fillId="19" borderId="14" xfId="0" applyFont="1" applyFill="1" applyBorder="1"/>
    <xf numFmtId="0" fontId="3" fillId="0" borderId="14" xfId="0" applyFont="1" applyBorder="1"/>
    <xf numFmtId="0" fontId="69" fillId="2" borderId="1" xfId="0" applyFont="1" applyFill="1" applyBorder="1"/>
    <xf numFmtId="0" fontId="70" fillId="0" borderId="1" xfId="0" applyFont="1" applyBorder="1" applyAlignment="1">
      <alignment wrapText="1"/>
    </xf>
    <xf numFmtId="0" fontId="41" fillId="8" borderId="1" xfId="0" applyFont="1" applyFill="1" applyBorder="1"/>
    <xf numFmtId="0" fontId="48" fillId="8" borderId="1" xfId="0" applyFont="1" applyFill="1" applyBorder="1"/>
    <xf numFmtId="0" fontId="65" fillId="8" borderId="1" xfId="0" applyFont="1" applyFill="1" applyBorder="1" applyAlignment="1">
      <alignment wrapText="1"/>
    </xf>
    <xf numFmtId="0" fontId="53" fillId="8" borderId="1" xfId="0" applyFont="1" applyFill="1" applyBorder="1" applyAlignment="1">
      <alignment wrapText="1"/>
    </xf>
    <xf numFmtId="0" fontId="69" fillId="2" borderId="7" xfId="0" applyFont="1" applyFill="1" applyBorder="1"/>
    <xf numFmtId="0" fontId="68" fillId="0" borderId="0" xfId="0" applyFont="1"/>
    <xf numFmtId="0" fontId="68" fillId="2" borderId="18" xfId="0" applyFont="1" applyFill="1" applyBorder="1"/>
    <xf numFmtId="0" fontId="68" fillId="2" borderId="17" xfId="0" applyFont="1" applyFill="1" applyBorder="1"/>
    <xf numFmtId="0" fontId="68" fillId="2" borderId="7" xfId="0" applyFont="1" applyFill="1" applyBorder="1"/>
    <xf numFmtId="0" fontId="68" fillId="2" borderId="0" xfId="0" applyFont="1" applyFill="1"/>
    <xf numFmtId="0" fontId="72" fillId="12" borderId="1" xfId="0" applyFont="1" applyFill="1" applyBorder="1"/>
    <xf numFmtId="0" fontId="72" fillId="12" borderId="16" xfId="0" applyFont="1" applyFill="1" applyBorder="1"/>
    <xf numFmtId="0" fontId="72" fillId="12" borderId="0" xfId="0" applyFont="1" applyFill="1"/>
    <xf numFmtId="0" fontId="71" fillId="12" borderId="1" xfId="0" applyFont="1" applyFill="1" applyBorder="1" applyAlignment="1">
      <alignment wrapText="1"/>
    </xf>
    <xf numFmtId="0" fontId="72" fillId="12" borderId="15" xfId="0" applyFont="1" applyFill="1" applyBorder="1"/>
    <xf numFmtId="0" fontId="63" fillId="2" borderId="11" xfId="0" applyFont="1" applyFill="1" applyBorder="1"/>
    <xf numFmtId="0" fontId="0" fillId="0" borderId="15" xfId="0" applyBorder="1"/>
    <xf numFmtId="0" fontId="0" fillId="0" borderId="19" xfId="0" applyBorder="1"/>
    <xf numFmtId="0" fontId="6" fillId="2" borderId="11" xfId="0" applyFont="1" applyFill="1" applyBorder="1"/>
    <xf numFmtId="0" fontId="6" fillId="2" borderId="1" xfId="0" applyFont="1" applyFill="1" applyBorder="1"/>
    <xf numFmtId="0" fontId="6" fillId="0" borderId="1" xfId="0" applyFont="1" applyBorder="1"/>
    <xf numFmtId="0" fontId="6" fillId="19" borderId="1" xfId="0" applyFont="1" applyFill="1" applyBorder="1"/>
    <xf numFmtId="0" fontId="6" fillId="0" borderId="14" xfId="0" applyFont="1" applyBorder="1"/>
    <xf numFmtId="0" fontId="16" fillId="18" borderId="1" xfId="0" applyFont="1" applyFill="1" applyBorder="1" applyAlignment="1">
      <alignment wrapText="1"/>
    </xf>
    <xf numFmtId="0" fontId="74" fillId="23" borderId="1" xfId="0" applyFont="1" applyFill="1" applyBorder="1"/>
    <xf numFmtId="0" fontId="73" fillId="19" borderId="1" xfId="0" applyFont="1" applyFill="1" applyBorder="1" applyAlignment="1">
      <alignment wrapText="1"/>
    </xf>
    <xf numFmtId="0" fontId="16" fillId="18" borderId="1" xfId="0" applyFont="1" applyFill="1" applyBorder="1"/>
    <xf numFmtId="0" fontId="75" fillId="20" borderId="1" xfId="0" applyFont="1" applyFill="1" applyBorder="1" applyAlignment="1">
      <alignment wrapText="1"/>
    </xf>
    <xf numFmtId="0" fontId="76" fillId="16" borderId="1" xfId="0" applyFont="1" applyFill="1" applyBorder="1" applyAlignment="1">
      <alignment wrapText="1"/>
    </xf>
    <xf numFmtId="0" fontId="74" fillId="18" borderId="1" xfId="0" applyFont="1" applyFill="1" applyBorder="1" applyAlignment="1">
      <alignment wrapText="1"/>
    </xf>
    <xf numFmtId="0" fontId="77" fillId="16" borderId="1" xfId="0" applyFont="1" applyFill="1" applyBorder="1" applyAlignment="1">
      <alignment wrapText="1"/>
    </xf>
    <xf numFmtId="0" fontId="78" fillId="2" borderId="1" xfId="0" applyFont="1" applyFill="1" applyBorder="1" applyAlignment="1">
      <alignment wrapText="1"/>
    </xf>
    <xf numFmtId="0" fontId="16" fillId="8" borderId="1" xfId="0" applyFont="1" applyFill="1" applyBorder="1" applyAlignment="1">
      <alignment wrapText="1"/>
    </xf>
    <xf numFmtId="0" fontId="79" fillId="0" borderId="1" xfId="0" applyFont="1" applyBorder="1"/>
    <xf numFmtId="0" fontId="6" fillId="0" borderId="12" xfId="0" applyFont="1" applyBorder="1"/>
    <xf numFmtId="0" fontId="6" fillId="0" borderId="7" xfId="0" applyFont="1" applyBorder="1"/>
    <xf numFmtId="0" fontId="6" fillId="0" borderId="1" xfId="0" applyFont="1" applyBorder="1" applyAlignment="1">
      <alignment wrapText="1"/>
    </xf>
    <xf numFmtId="0" fontId="14" fillId="0" borderId="1" xfId="0" applyFont="1" applyBorder="1"/>
    <xf numFmtId="0" fontId="6" fillId="26" borderId="1" xfId="0" applyFont="1" applyFill="1" applyBorder="1"/>
    <xf numFmtId="0" fontId="6" fillId="21" borderId="1" xfId="0" applyFont="1" applyFill="1" applyBorder="1"/>
    <xf numFmtId="0" fontId="6" fillId="0" borderId="19" xfId="0" applyFont="1" applyBorder="1"/>
    <xf numFmtId="0" fontId="81" fillId="22" borderId="1" xfId="0" applyFont="1" applyFill="1" applyBorder="1"/>
    <xf numFmtId="0" fontId="83" fillId="0" borderId="1" xfId="0" applyFont="1" applyBorder="1" applyAlignment="1">
      <alignment wrapText="1"/>
    </xf>
    <xf numFmtId="0" fontId="14" fillId="8" borderId="1" xfId="0" applyFont="1" applyFill="1" applyBorder="1"/>
    <xf numFmtId="0" fontId="6" fillId="8" borderId="1" xfId="0" applyFont="1" applyFill="1" applyBorder="1"/>
    <xf numFmtId="0" fontId="14" fillId="15" borderId="1" xfId="0" applyFont="1" applyFill="1" applyBorder="1"/>
    <xf numFmtId="0" fontId="14" fillId="28" borderId="1" xfId="0" applyFont="1" applyFill="1" applyBorder="1"/>
    <xf numFmtId="0" fontId="6" fillId="26" borderId="1" xfId="0" applyFont="1" applyFill="1" applyBorder="1" applyAlignment="1">
      <alignment wrapText="1"/>
    </xf>
    <xf numFmtId="0" fontId="14" fillId="29" borderId="1" xfId="0" applyFont="1" applyFill="1" applyBorder="1"/>
    <xf numFmtId="0" fontId="6" fillId="27" borderId="1" xfId="0" applyFont="1" applyFill="1" applyBorder="1"/>
    <xf numFmtId="0" fontId="81" fillId="18" borderId="1" xfId="0" applyFont="1" applyFill="1" applyBorder="1" applyAlignment="1">
      <alignment wrapText="1"/>
    </xf>
    <xf numFmtId="0" fontId="14" fillId="18" borderId="1" xfId="0" applyFont="1" applyFill="1" applyBorder="1"/>
    <xf numFmtId="0" fontId="14" fillId="18" borderId="12" xfId="0" applyFont="1" applyFill="1" applyBorder="1"/>
    <xf numFmtId="0" fontId="6" fillId="18" borderId="7" xfId="0" applyFont="1" applyFill="1" applyBorder="1"/>
    <xf numFmtId="0" fontId="82" fillId="9" borderId="1" xfId="0" applyFont="1" applyFill="1" applyBorder="1" applyAlignment="1">
      <alignment wrapText="1"/>
    </xf>
    <xf numFmtId="0" fontId="6" fillId="30" borderId="1" xfId="0" applyFont="1" applyFill="1" applyBorder="1"/>
    <xf numFmtId="0" fontId="14" fillId="15" borderId="7" xfId="0" applyFont="1" applyFill="1" applyBorder="1"/>
    <xf numFmtId="0" fontId="84" fillId="26" borderId="1" xfId="0" applyFont="1" applyFill="1" applyBorder="1"/>
    <xf numFmtId="0" fontId="14" fillId="29" borderId="13" xfId="0" applyFont="1" applyFill="1" applyBorder="1"/>
    <xf numFmtId="0" fontId="14" fillId="10" borderId="1" xfId="0" applyFont="1" applyFill="1" applyBorder="1"/>
    <xf numFmtId="0" fontId="6" fillId="13" borderId="1" xfId="0" applyFont="1" applyFill="1" applyBorder="1"/>
    <xf numFmtId="0" fontId="14" fillId="22" borderId="7" xfId="0" applyFont="1" applyFill="1" applyBorder="1"/>
    <xf numFmtId="0" fontId="81" fillId="28" borderId="1" xfId="0" applyFont="1" applyFill="1" applyBorder="1"/>
    <xf numFmtId="0" fontId="6" fillId="27" borderId="1" xfId="0" applyFont="1" applyFill="1" applyBorder="1" applyAlignment="1">
      <alignment wrapText="1"/>
    </xf>
    <xf numFmtId="0" fontId="14" fillId="0" borderId="1" xfId="0" applyFont="1" applyBorder="1" applyAlignment="1">
      <alignment wrapText="1"/>
    </xf>
    <xf numFmtId="0" fontId="73" fillId="0" borderId="1" xfId="0" applyFont="1" applyBorder="1"/>
    <xf numFmtId="0" fontId="56" fillId="8" borderId="1" xfId="0" applyFont="1" applyFill="1" applyBorder="1"/>
    <xf numFmtId="0" fontId="80" fillId="0" borderId="1" xfId="0" applyFont="1" applyBorder="1" applyAlignment="1">
      <alignment wrapText="1"/>
    </xf>
    <xf numFmtId="0" fontId="16" fillId="18" borderId="14" xfId="0" applyFont="1" applyFill="1" applyBorder="1" applyAlignment="1">
      <alignment wrapText="1"/>
    </xf>
    <xf numFmtId="0" fontId="85" fillId="0" borderId="1" xfId="0" applyFont="1" applyBorder="1" applyAlignment="1">
      <alignment wrapText="1"/>
    </xf>
    <xf numFmtId="0" fontId="86" fillId="0" borderId="0" xfId="0" applyFont="1"/>
    <xf numFmtId="0" fontId="87" fillId="24" borderId="1" xfId="0" applyFont="1" applyFill="1" applyBorder="1" applyAlignment="1">
      <alignment wrapText="1"/>
    </xf>
    <xf numFmtId="0" fontId="88" fillId="18" borderId="1" xfId="0" applyFont="1" applyFill="1" applyBorder="1" applyAlignment="1">
      <alignment wrapText="1"/>
    </xf>
    <xf numFmtId="0" fontId="51" fillId="0" borderId="1" xfId="0" applyFont="1" applyBorder="1"/>
    <xf numFmtId="0" fontId="18" fillId="0" borderId="1" xfId="0" applyFont="1" applyBorder="1"/>
    <xf numFmtId="0" fontId="3" fillId="0" borderId="0" xfId="0" applyFont="1"/>
    <xf numFmtId="0" fontId="16" fillId="18" borderId="14" xfId="0" applyFont="1" applyFill="1" applyBorder="1"/>
    <xf numFmtId="164" fontId="73" fillId="19" borderId="14" xfId="0" applyNumberFormat="1" applyFont="1" applyFill="1" applyBorder="1"/>
    <xf numFmtId="0" fontId="89" fillId="8" borderId="1" xfId="0" applyFont="1" applyFill="1" applyBorder="1"/>
    <xf numFmtId="0" fontId="6" fillId="13" borderId="1" xfId="0" applyFont="1" applyFill="1" applyBorder="1" applyAlignment="1">
      <alignment wrapText="1"/>
    </xf>
    <xf numFmtId="0" fontId="14" fillId="2" borderId="1" xfId="0" applyFont="1" applyFill="1" applyBorder="1" applyAlignment="1">
      <alignment wrapText="1"/>
    </xf>
    <xf numFmtId="164" fontId="90" fillId="30" borderId="16" xfId="0" applyNumberFormat="1" applyFont="1" applyFill="1" applyBorder="1"/>
    <xf numFmtId="164" fontId="90" fillId="13" borderId="0" xfId="0" applyNumberFormat="1" applyFont="1" applyFill="1"/>
    <xf numFmtId="164" fontId="90" fillId="30" borderId="15" xfId="0" applyNumberFormat="1" applyFont="1" applyFill="1" applyBorder="1"/>
    <xf numFmtId="164" fontId="90" fillId="13" borderId="16" xfId="0" applyNumberFormat="1" applyFont="1" applyFill="1" applyBorder="1"/>
    <xf numFmtId="0" fontId="81" fillId="9" borderId="1" xfId="0" applyFont="1" applyFill="1" applyBorder="1" applyAlignment="1">
      <alignment wrapText="1"/>
    </xf>
    <xf numFmtId="0" fontId="9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65" fillId="0" borderId="1" xfId="0" applyFont="1" applyBorder="1"/>
    <xf numFmtId="0" fontId="10" fillId="0" borderId="1" xfId="0" applyFont="1" applyBorder="1"/>
    <xf numFmtId="0" fontId="9" fillId="0" borderId="0" xfId="0" applyFont="1"/>
    <xf numFmtId="0" fontId="92" fillId="0" borderId="7" xfId="0" applyFont="1" applyBorder="1"/>
    <xf numFmtId="0" fontId="93" fillId="0" borderId="7" xfId="0" applyFont="1" applyBorder="1"/>
    <xf numFmtId="0" fontId="9" fillId="0" borderId="7" xfId="0" applyFont="1" applyBorder="1"/>
    <xf numFmtId="0" fontId="94" fillId="0" borderId="0" xfId="0" applyFont="1"/>
    <xf numFmtId="0" fontId="50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16" fillId="8" borderId="14" xfId="0" applyFont="1" applyFill="1" applyBorder="1"/>
    <xf numFmtId="0" fontId="16" fillId="8" borderId="14" xfId="0" applyFont="1" applyFill="1" applyBorder="1" applyAlignment="1">
      <alignment wrapText="1"/>
    </xf>
    <xf numFmtId="0" fontId="50" fillId="0" borderId="1" xfId="0" applyFont="1" applyBorder="1" applyAlignment="1">
      <alignment wrapText="1"/>
    </xf>
    <xf numFmtId="0" fontId="87" fillId="0" borderId="1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74" fillId="0" borderId="1" xfId="0" applyFont="1" applyBorder="1" applyAlignment="1">
      <alignment wrapText="1"/>
    </xf>
    <xf numFmtId="0" fontId="77" fillId="0" borderId="1" xfId="0" applyFont="1" applyBorder="1" applyAlignment="1">
      <alignment wrapText="1"/>
    </xf>
    <xf numFmtId="0" fontId="88" fillId="0" borderId="1" xfId="0" applyFont="1" applyBorder="1" applyAlignment="1">
      <alignment wrapText="1"/>
    </xf>
    <xf numFmtId="0" fontId="78" fillId="0" borderId="1" xfId="0" applyFont="1" applyBorder="1" applyAlignment="1">
      <alignment wrapText="1"/>
    </xf>
    <xf numFmtId="0" fontId="89" fillId="0" borderId="1" xfId="0" applyFont="1" applyBorder="1"/>
    <xf numFmtId="0" fontId="81" fillId="0" borderId="1" xfId="0" applyFont="1" applyBorder="1"/>
    <xf numFmtId="0" fontId="81" fillId="0" borderId="1" xfId="0" applyFont="1" applyBorder="1" applyAlignment="1">
      <alignment wrapText="1"/>
    </xf>
    <xf numFmtId="0" fontId="84" fillId="0" borderId="1" xfId="0" applyFont="1" applyBorder="1"/>
    <xf numFmtId="0" fontId="81" fillId="8" borderId="14" xfId="0" applyFont="1" applyFill="1" applyBorder="1"/>
    <xf numFmtId="0" fontId="84" fillId="8" borderId="14" xfId="0" applyFont="1" applyFill="1" applyBorder="1"/>
    <xf numFmtId="0" fontId="6" fillId="8" borderId="14" xfId="0" applyFont="1" applyFill="1" applyBorder="1"/>
    <xf numFmtId="0" fontId="86" fillId="2" borderId="1" xfId="0" applyFont="1" applyFill="1" applyBorder="1"/>
    <xf numFmtId="0" fontId="86" fillId="19" borderId="7" xfId="0" applyFont="1" applyFill="1" applyBorder="1"/>
    <xf numFmtId="164" fontId="95" fillId="19" borderId="20" xfId="0" applyNumberFormat="1" applyFont="1" applyFill="1" applyBorder="1"/>
    <xf numFmtId="0" fontId="95" fillId="8" borderId="1" xfId="0" applyFont="1" applyFill="1" applyBorder="1"/>
    <xf numFmtId="0" fontId="95" fillId="8" borderId="1" xfId="0" applyFont="1" applyFill="1" applyBorder="1" applyAlignment="1">
      <alignment wrapText="1"/>
    </xf>
    <xf numFmtId="0" fontId="21" fillId="8" borderId="1" xfId="0" applyFont="1" applyFill="1" applyBorder="1" applyAlignment="1">
      <alignment wrapText="1"/>
    </xf>
    <xf numFmtId="0" fontId="86" fillId="0" borderId="1" xfId="0" applyFont="1" applyBorder="1"/>
    <xf numFmtId="0" fontId="86" fillId="19" borderId="1" xfId="0" applyFont="1" applyFill="1" applyBorder="1"/>
    <xf numFmtId="164" fontId="0" fillId="0" borderId="1" xfId="0" applyNumberFormat="1" applyBorder="1"/>
    <xf numFmtId="164" fontId="90" fillId="0" borderId="1" xfId="0" applyNumberFormat="1" applyFont="1" applyBorder="1"/>
    <xf numFmtId="0" fontId="21" fillId="8" borderId="17" xfId="0" applyFont="1" applyFill="1" applyBorder="1" applyAlignment="1">
      <alignment wrapText="1"/>
    </xf>
    <xf numFmtId="0" fontId="21" fillId="8" borderId="12" xfId="0" applyFont="1" applyFill="1" applyBorder="1" applyAlignment="1">
      <alignment wrapText="1"/>
    </xf>
    <xf numFmtId="0" fontId="86" fillId="0" borderId="12" xfId="0" applyFont="1" applyBorder="1"/>
    <xf numFmtId="0" fontId="6" fillId="8" borderId="18" xfId="0" applyFont="1" applyFill="1" applyBorder="1" applyAlignment="1">
      <alignment wrapText="1"/>
    </xf>
    <xf numFmtId="0" fontId="50" fillId="2" borderId="12" xfId="0" applyFont="1" applyFill="1" applyBorder="1"/>
    <xf numFmtId="0" fontId="51" fillId="0" borderId="12" xfId="0" applyFont="1" applyBorder="1"/>
    <xf numFmtId="0" fontId="68" fillId="2" borderId="11" xfId="0" applyFont="1" applyFill="1" applyBorder="1"/>
    <xf numFmtId="164" fontId="90" fillId="13" borderId="15" xfId="0" applyNumberFormat="1" applyFont="1" applyFill="1" applyBorder="1"/>
    <xf numFmtId="0" fontId="86" fillId="31" borderId="1" xfId="0" applyFont="1" applyFill="1" applyBorder="1"/>
    <xf numFmtId="0" fontId="86" fillId="31" borderId="12" xfId="0" applyFont="1" applyFill="1" applyBorder="1"/>
    <xf numFmtId="0" fontId="86" fillId="4" borderId="12" xfId="0" applyFont="1" applyFill="1" applyBorder="1"/>
    <xf numFmtId="0" fontId="86" fillId="4" borderId="1" xfId="0" applyFont="1" applyFill="1" applyBorder="1"/>
    <xf numFmtId="0" fontId="86" fillId="32" borderId="1" xfId="0" applyFont="1" applyFill="1" applyBorder="1"/>
    <xf numFmtId="0" fontId="26" fillId="32" borderId="1" xfId="0" applyFont="1" applyFill="1" applyBorder="1"/>
    <xf numFmtId="0" fontId="86" fillId="32" borderId="12" xfId="0" applyFont="1" applyFill="1" applyBorder="1"/>
    <xf numFmtId="164" fontId="96" fillId="13" borderId="16" xfId="0" applyNumberFormat="1" applyFont="1" applyFill="1" applyBorder="1"/>
    <xf numFmtId="164" fontId="96" fillId="13" borderId="0" xfId="0" applyNumberFormat="1" applyFont="1" applyFill="1"/>
    <xf numFmtId="164" fontId="96" fillId="13" borderId="15" xfId="0" applyNumberFormat="1" applyFont="1" applyFill="1" applyBorder="1"/>
    <xf numFmtId="164" fontId="96" fillId="30" borderId="15" xfId="0" applyNumberFormat="1" applyFont="1" applyFill="1" applyBorder="1"/>
    <xf numFmtId="0" fontId="86" fillId="8" borderId="1" xfId="0" applyFont="1" applyFill="1" applyBorder="1"/>
    <xf numFmtId="0" fontId="86" fillId="8" borderId="1" xfId="0" applyFont="1" applyFill="1" applyBorder="1" applyAlignment="1">
      <alignment wrapText="1"/>
    </xf>
    <xf numFmtId="0" fontId="86" fillId="2" borderId="1" xfId="0" applyFont="1" applyFill="1" applyBorder="1" applyAlignment="1">
      <alignment wrapText="1"/>
    </xf>
    <xf numFmtId="164" fontId="96" fillId="13" borderId="1" xfId="0" applyNumberFormat="1" applyFont="1" applyFill="1" applyBorder="1"/>
    <xf numFmtId="164" fontId="96" fillId="30" borderId="1" xfId="0" applyNumberFormat="1" applyFont="1" applyFill="1" applyBorder="1"/>
    <xf numFmtId="164" fontId="95" fillId="19" borderId="1" xfId="0" applyNumberFormat="1" applyFont="1" applyFill="1" applyBorder="1"/>
    <xf numFmtId="0" fontId="81" fillId="8" borderId="1" xfId="0" applyFont="1" applyFill="1" applyBorder="1"/>
    <xf numFmtId="0" fontId="84" fillId="8" borderId="1" xfId="0" applyFont="1" applyFill="1" applyBorder="1"/>
    <xf numFmtId="0" fontId="6" fillId="8" borderId="1" xfId="0" applyFont="1" applyFill="1" applyBorder="1" applyAlignment="1">
      <alignment wrapText="1"/>
    </xf>
    <xf numFmtId="0" fontId="94" fillId="0" borderId="1" xfId="0" applyFont="1" applyBorder="1"/>
    <xf numFmtId="0" fontId="86" fillId="6" borderId="1" xfId="0" applyFont="1" applyFill="1" applyBorder="1"/>
    <xf numFmtId="0" fontId="26" fillId="14" borderId="1" xfId="0" applyFont="1" applyFill="1" applyBorder="1"/>
    <xf numFmtId="164" fontId="96" fillId="5" borderId="1" xfId="0" applyNumberFormat="1" applyFont="1" applyFill="1" applyBorder="1"/>
    <xf numFmtId="0" fontId="97" fillId="18" borderId="0" xfId="0" applyFont="1" applyFill="1" applyAlignment="1">
      <alignment wrapText="1"/>
    </xf>
    <xf numFmtId="0" fontId="98" fillId="0" borderId="1" xfId="0" applyFont="1" applyBorder="1" applyAlignment="1">
      <alignment vertical="center"/>
    </xf>
    <xf numFmtId="164" fontId="99" fillId="0" borderId="0" xfId="0" applyNumberFormat="1" applyFont="1" applyAlignment="1">
      <alignment wrapText="1"/>
    </xf>
    <xf numFmtId="164" fontId="26" fillId="0" borderId="1" xfId="0" applyNumberFormat="1" applyFont="1" applyBorder="1"/>
    <xf numFmtId="0" fontId="0" fillId="0" borderId="21" xfId="0" applyBorder="1"/>
    <xf numFmtId="0" fontId="26" fillId="0" borderId="21" xfId="0" applyFont="1" applyBorder="1"/>
    <xf numFmtId="0" fontId="26" fillId="0" borderId="0" xfId="0" applyFont="1"/>
    <xf numFmtId="0" fontId="26" fillId="33" borderId="1" xfId="0" applyFont="1" applyFill="1" applyBorder="1"/>
    <xf numFmtId="0" fontId="86" fillId="0" borderId="1" xfId="0" applyFont="1" applyBorder="1" applyAlignment="1">
      <alignment wrapText="1"/>
    </xf>
    <xf numFmtId="0" fontId="0" fillId="0" borderId="22" xfId="0" applyBorder="1"/>
    <xf numFmtId="164" fontId="99" fillId="0" borderId="1" xfId="0" applyNumberFormat="1" applyFont="1" applyBorder="1" applyAlignment="1">
      <alignment wrapText="1"/>
    </xf>
    <xf numFmtId="0" fontId="97" fillId="18" borderId="1" xfId="0" applyFont="1" applyFill="1" applyBorder="1" applyAlignment="1">
      <alignment wrapText="1"/>
    </xf>
    <xf numFmtId="0" fontId="0" fillId="0" borderId="23" xfId="0" applyBorder="1"/>
    <xf numFmtId="0" fontId="26" fillId="0" borderId="23" xfId="0" applyFont="1" applyBorder="1"/>
    <xf numFmtId="0" fontId="26" fillId="0" borderId="14" xfId="0" applyFont="1" applyBorder="1"/>
    <xf numFmtId="0" fontId="0" fillId="0" borderId="24" xfId="0" applyBorder="1"/>
    <xf numFmtId="0" fontId="70" fillId="2" borderId="1" xfId="0" applyFont="1" applyFill="1" applyBorder="1"/>
    <xf numFmtId="0" fontId="95" fillId="18" borderId="1" xfId="0" applyFont="1" applyFill="1" applyBorder="1" applyAlignment="1">
      <alignment horizontal="center"/>
    </xf>
    <xf numFmtId="0" fontId="95" fillId="18" borderId="1" xfId="0" applyFont="1" applyFill="1" applyBorder="1"/>
    <xf numFmtId="0" fontId="0" fillId="24" borderId="1" xfId="0" applyFill="1" applyBorder="1"/>
    <xf numFmtId="0" fontId="68" fillId="24" borderId="1" xfId="0" applyFont="1" applyFill="1" applyBorder="1"/>
    <xf numFmtId="0" fontId="86" fillId="24" borderId="1" xfId="0" applyFont="1" applyFill="1" applyBorder="1"/>
    <xf numFmtId="0" fontId="95" fillId="24" borderId="1" xfId="0" applyFont="1" applyFill="1" applyBorder="1"/>
    <xf numFmtId="0" fontId="95" fillId="24" borderId="1" xfId="0" applyFont="1" applyFill="1" applyBorder="1" applyAlignment="1">
      <alignment wrapText="1"/>
    </xf>
    <xf numFmtId="164" fontId="51" fillId="19" borderId="1" xfId="0" applyNumberFormat="1" applyFont="1" applyFill="1" applyBorder="1"/>
    <xf numFmtId="0" fontId="100" fillId="17" borderId="1" xfId="0" applyFont="1" applyFill="1" applyBorder="1"/>
    <xf numFmtId="0" fontId="101" fillId="17" borderId="1" xfId="0" applyFont="1" applyFill="1" applyBorder="1"/>
    <xf numFmtId="0" fontId="102" fillId="2" borderId="1" xfId="0" applyFont="1" applyFill="1" applyBorder="1"/>
    <xf numFmtId="0" fontId="69" fillId="24" borderId="1" xfId="0" applyFont="1" applyFill="1" applyBorder="1"/>
    <xf numFmtId="0" fontId="50" fillId="24" borderId="1" xfId="0" applyFont="1" applyFill="1" applyBorder="1"/>
    <xf numFmtId="0" fontId="103" fillId="18" borderId="1" xfId="0" applyFont="1" applyFill="1" applyBorder="1" applyAlignment="1">
      <alignment wrapText="1"/>
    </xf>
    <xf numFmtId="0" fontId="104" fillId="17" borderId="1" xfId="0" applyFont="1" applyFill="1" applyBorder="1"/>
    <xf numFmtId="0" fontId="105" fillId="24" borderId="1" xfId="0" applyFont="1" applyFill="1" applyBorder="1" applyAlignment="1">
      <alignment wrapText="1"/>
    </xf>
    <xf numFmtId="0" fontId="106" fillId="24" borderId="1" xfId="0" applyFont="1" applyFill="1" applyBorder="1"/>
    <xf numFmtId="0" fontId="107" fillId="24" borderId="1" xfId="0" applyFont="1" applyFill="1" applyBorder="1"/>
    <xf numFmtId="0" fontId="108" fillId="18" borderId="1" xfId="0" applyFont="1" applyFill="1" applyBorder="1"/>
    <xf numFmtId="164" fontId="4" fillId="13" borderId="1" xfId="0" applyNumberFormat="1" applyFont="1" applyFill="1" applyBorder="1"/>
    <xf numFmtId="0" fontId="55" fillId="19" borderId="1" xfId="0" applyFont="1" applyFill="1" applyBorder="1"/>
    <xf numFmtId="0" fontId="0" fillId="34" borderId="0" xfId="0" applyFill="1"/>
    <xf numFmtId="0" fontId="0" fillId="34" borderId="1" xfId="0" applyFill="1" applyBorder="1"/>
    <xf numFmtId="164" fontId="4" fillId="13" borderId="12" xfId="0" applyNumberFormat="1" applyFont="1" applyFill="1" applyBorder="1"/>
    <xf numFmtId="164" fontId="4" fillId="30" borderId="12" xfId="0" applyNumberFormat="1" applyFont="1" applyFill="1" applyBorder="1"/>
    <xf numFmtId="164" fontId="96" fillId="5" borderId="12" xfId="0" applyNumberFormat="1" applyFont="1" applyFill="1" applyBorder="1"/>
    <xf numFmtId="0" fontId="103" fillId="18" borderId="12" xfId="0" applyFont="1" applyFill="1" applyBorder="1" applyAlignment="1">
      <alignment wrapText="1"/>
    </xf>
    <xf numFmtId="0" fontId="63" fillId="2" borderId="12" xfId="0" applyFont="1" applyFill="1" applyBorder="1"/>
    <xf numFmtId="0" fontId="68" fillId="2" borderId="12" xfId="0" applyFont="1" applyFill="1" applyBorder="1"/>
    <xf numFmtId="0" fontId="0" fillId="24" borderId="0" xfId="0" applyFill="1"/>
    <xf numFmtId="0" fontId="0" fillId="24" borderId="7" xfId="0" applyFill="1" applyBorder="1"/>
    <xf numFmtId="0" fontId="104" fillId="17" borderId="13" xfId="0" applyFont="1" applyFill="1" applyBorder="1"/>
    <xf numFmtId="0" fontId="0" fillId="16" borderId="7" xfId="0" applyFill="1" applyBorder="1"/>
    <xf numFmtId="0" fontId="109" fillId="24" borderId="1" xfId="0" applyFont="1" applyFill="1" applyBorder="1" applyAlignment="1">
      <alignment wrapText="1"/>
    </xf>
    <xf numFmtId="0" fontId="0" fillId="2" borderId="1" xfId="0" applyFont="1" applyFill="1" applyBorder="1"/>
    <xf numFmtId="164" fontId="32" fillId="19" borderId="1" xfId="0" applyNumberFormat="1" applyFont="1" applyFill="1" applyBorder="1"/>
    <xf numFmtId="164" fontId="90" fillId="13" borderId="1" xfId="0" applyNumberFormat="1" applyFont="1" applyFill="1" applyBorder="1"/>
    <xf numFmtId="164" fontId="50" fillId="19" borderId="1" xfId="0" applyNumberFormat="1" applyFont="1" applyFill="1" applyBorder="1"/>
    <xf numFmtId="164" fontId="90" fillId="30" borderId="1" xfId="0" applyNumberFormat="1" applyFont="1" applyFill="1" applyBorder="1"/>
    <xf numFmtId="0" fontId="0" fillId="35" borderId="1" xfId="0" applyFill="1" applyBorder="1"/>
    <xf numFmtId="0" fontId="0" fillId="35" borderId="0" xfId="0" applyFill="1"/>
    <xf numFmtId="0" fontId="110" fillId="24" borderId="1" xfId="0" applyFont="1" applyFill="1" applyBorder="1" applyAlignment="1">
      <alignment wrapText="1"/>
    </xf>
    <xf numFmtId="0" fontId="107" fillId="18" borderId="1" xfId="0" applyFont="1" applyFill="1" applyBorder="1"/>
    <xf numFmtId="0" fontId="107" fillId="18" borderId="1" xfId="0" applyFont="1" applyFill="1" applyBorder="1" applyAlignment="1">
      <alignment horizontal="center"/>
    </xf>
    <xf numFmtId="0" fontId="111" fillId="18" borderId="12" xfId="0" applyFont="1" applyFill="1" applyBorder="1"/>
    <xf numFmtId="0" fontId="50" fillId="24" borderId="1" xfId="0" applyFont="1" applyFill="1" applyBorder="1" applyAlignment="1">
      <alignment wrapText="1"/>
    </xf>
    <xf numFmtId="0" fontId="112" fillId="17" borderId="7" xfId="0" applyFont="1" applyFill="1" applyBorder="1"/>
    <xf numFmtId="0" fontId="113" fillId="17" borderId="7" xfId="0" applyFont="1" applyFill="1" applyBorder="1"/>
    <xf numFmtId="0" fontId="114" fillId="24" borderId="1" xfId="0" applyFont="1" applyFill="1" applyBorder="1"/>
    <xf numFmtId="0" fontId="115" fillId="24" borderId="12" xfId="0" applyFont="1" applyFill="1" applyBorder="1"/>
    <xf numFmtId="0" fontId="116" fillId="24" borderId="1" xfId="0" applyFont="1" applyFill="1" applyBorder="1"/>
    <xf numFmtId="0" fontId="0" fillId="36" borderId="1" xfId="0" applyFill="1" applyBorder="1"/>
    <xf numFmtId="0" fontId="119" fillId="18" borderId="1" xfId="0" applyFont="1" applyFill="1" applyBorder="1"/>
    <xf numFmtId="0" fontId="0" fillId="18" borderId="1" xfId="0" applyFont="1" applyFill="1" applyBorder="1"/>
    <xf numFmtId="0" fontId="0" fillId="18" borderId="1" xfId="0" applyFill="1" applyBorder="1"/>
    <xf numFmtId="0" fontId="0" fillId="37" borderId="1" xfId="0" applyFill="1" applyBorder="1"/>
    <xf numFmtId="0" fontId="0" fillId="37" borderId="0" xfId="0" applyFill="1"/>
    <xf numFmtId="164" fontId="121" fillId="38" borderId="1" xfId="0" applyNumberFormat="1" applyFont="1" applyFill="1" applyBorder="1"/>
    <xf numFmtId="164" fontId="117" fillId="38" borderId="12" xfId="0" applyNumberFormat="1" applyFont="1" applyFill="1" applyBorder="1"/>
    <xf numFmtId="0" fontId="120" fillId="38" borderId="1" xfId="0" applyFont="1" applyFill="1" applyBorder="1" applyAlignment="1">
      <alignment horizontal="center" wrapText="1"/>
    </xf>
    <xf numFmtId="0" fontId="122" fillId="38" borderId="1" xfId="0" applyFont="1" applyFill="1" applyBorder="1" applyAlignment="1">
      <alignment horizontal="center" wrapText="1"/>
    </xf>
    <xf numFmtId="0" fontId="118" fillId="38" borderId="1" xfId="0" applyFont="1" applyFill="1" applyBorder="1" applyAlignment="1">
      <alignment horizontal="center"/>
    </xf>
    <xf numFmtId="0" fontId="69" fillId="18" borderId="1" xfId="0" applyFont="1" applyFill="1" applyBorder="1" applyAlignment="1">
      <alignment horizontal="center"/>
    </xf>
    <xf numFmtId="0" fontId="14" fillId="38" borderId="1" xfId="0" applyFont="1" applyFill="1" applyBorder="1"/>
    <xf numFmtId="0" fontId="9" fillId="38" borderId="1" xfId="0" applyFont="1" applyFill="1" applyBorder="1"/>
    <xf numFmtId="164" fontId="123" fillId="39" borderId="1" xfId="0" applyNumberFormat="1" applyFont="1" applyFill="1" applyBorder="1"/>
    <xf numFmtId="164" fontId="123" fillId="39" borderId="12" xfId="0" applyNumberFormat="1" applyFont="1" applyFill="1" applyBorder="1"/>
    <xf numFmtId="0" fontId="0" fillId="38" borderId="0" xfId="0" applyFill="1"/>
    <xf numFmtId="164" fontId="123" fillId="39" borderId="1" xfId="0" applyNumberFormat="1" applyFont="1" applyFill="1" applyBorder="1" applyAlignment="1">
      <alignment wrapText="1"/>
    </xf>
  </cellXfs>
  <cellStyles count="1">
    <cellStyle name="Normal" xfId="0" builtinId="0"/>
  </cellStyles>
  <dxfs count="20">
    <dxf>
      <font>
        <sz val="48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1"/>
        <name val="Aptos Narrow"/>
        <family val="2"/>
        <scheme val="minor"/>
      </font>
      <border diagonalUp="0" diagonalDown="0">
        <left/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border outline="0">
        <left style="thin">
          <color theme="3"/>
        </left>
        <right style="thin">
          <color rgb="FF000000"/>
        </right>
        <top style="thin">
          <color theme="3"/>
        </top>
        <bottom style="thin">
          <color theme="3"/>
        </bottom>
      </border>
    </dxf>
    <dxf>
      <font>
        <sz val="48"/>
      </font>
    </dxf>
    <dxf>
      <border outline="0">
        <bottom style="thin">
          <color theme="3"/>
        </bottom>
      </border>
    </dxf>
    <dxf>
      <font>
        <sz val="48"/>
      </font>
    </dxf>
    <dxf>
      <font>
        <sz val="48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1"/>
        <name val="Aptos Narrow"/>
        <family val="2"/>
        <scheme val="minor"/>
      </font>
      <border diagonalUp="0" diagonalDown="0">
        <left/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border outline="0">
        <left style="thin">
          <color theme="3"/>
        </left>
        <right style="thin">
          <color rgb="FF000000"/>
        </right>
        <top style="thin">
          <color theme="3"/>
        </top>
        <bottom style="thin">
          <color theme="3"/>
        </bottom>
      </border>
    </dxf>
    <dxf>
      <font>
        <sz val="48"/>
      </font>
    </dxf>
    <dxf>
      <border outline="0">
        <bottom style="thin">
          <color theme="3"/>
        </bottom>
      </border>
    </dxf>
    <dxf>
      <font>
        <sz val="4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theme="1"/>
        <name val="Aptos Narrow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sz val="48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rgb="FFFF0000"/>
        <name val="Aptos Narrow"/>
        <family val="2"/>
        <scheme val="minor"/>
      </font>
      <fill>
        <patternFill patternType="solid">
          <fgColor indexed="64"/>
          <bgColor theme="1"/>
        </patternFill>
      </fill>
      <border diagonalUp="0" diagonalDown="0" outline="0">
        <left/>
        <right style="thin">
          <color theme="3"/>
        </right>
        <top style="thin">
          <color theme="3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1"/>
        <name val="Aptos Narrow"/>
        <family val="2"/>
        <scheme val="minor"/>
      </font>
      <border diagonalUp="0" diagonalDown="0">
        <left/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border outline="0">
        <left style="thin">
          <color theme="3"/>
        </left>
        <right style="thin">
          <color rgb="FF000000"/>
        </right>
        <top style="thin">
          <color theme="3"/>
        </top>
        <bottom style="thin">
          <color theme="3"/>
        </bottom>
      </border>
    </dxf>
    <dxf>
      <font>
        <sz val="48"/>
      </font>
    </dxf>
    <dxf>
      <border outline="0">
        <bottom style="thin">
          <color theme="3"/>
        </bottom>
      </border>
    </dxf>
    <dxf>
      <font>
        <sz val="48"/>
      </font>
    </dxf>
  </dxfs>
  <tableStyles count="0" defaultTableStyle="TableStyleMedium2" defaultPivotStyle="PivotStyleMedium9"/>
  <colors>
    <mruColors>
      <color rgb="FFFFFFB3"/>
      <color rgb="FFFF6B1C"/>
      <color rgb="FF709C81"/>
      <color rgb="FF0011FF"/>
      <color rgb="FFFFE942"/>
      <color rgb="FFFFC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F28B0A-5F03-4C00-93A9-FADF8DA9B66F}" name="Table1" displayName="Table1" ref="E1:F18" totalsRowCount="1" headerRowDxfId="19" dataDxfId="17" headerRowBorderDxfId="18" tableBorderDxfId="16">
  <autoFilter ref="E1:F17" xr:uid="{10F28B0A-5F03-4C00-93A9-FADF8DA9B66F}"/>
  <tableColumns count="2">
    <tableColumn id="1" xr3:uid="{526EE85E-74D0-4A9C-906F-86FB43760956}" name="REFERENCE POINT" totalsRowFunction="custom" dataDxfId="15" totalsRowDxfId="14">
      <totalsRowFormula>IF((B3-B4)/B2&gt;0.006,"HIGH VOLATILITY","SAFE TO TRADE")</totalsRowFormula>
    </tableColumn>
    <tableColumn id="2" xr3:uid="{86E565FF-98C0-4EB6-B1FC-D7334172B4C6}" name="Column1" dataDxfId="13" totalsRow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66B255-1A15-4124-BE6E-E408593E1E90}" name="Table134" displayName="Table134" ref="E1:F17" totalsRowShown="0" headerRowDxfId="11" dataDxfId="9" headerRowBorderDxfId="10" tableBorderDxfId="8">
  <autoFilter ref="E1:F17" xr:uid="{CC66B255-1A15-4124-BE6E-E408593E1E90}"/>
  <tableColumns count="2">
    <tableColumn id="1" xr3:uid="{D56B7C16-01FC-42A6-9EC1-6D5B135280E7}" name="REFERENCE POINT" dataDxfId="7"/>
    <tableColumn id="2" xr3:uid="{EAFF3A8A-A568-4316-91D4-DA0A9A32861A}" name="Column1" dataDxfId="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0E173D-1AAA-4BB9-A1BD-7445FAA5FF57}" name="Table13" displayName="Table13" ref="E18:F34" totalsRowShown="0" headerRowDxfId="5" dataDxfId="3" headerRowBorderDxfId="4" tableBorderDxfId="2">
  <autoFilter ref="E18:F34" xr:uid="{7B0E173D-1AAA-4BB9-A1BD-7445FAA5FF57}"/>
  <tableColumns count="2">
    <tableColumn id="1" xr3:uid="{56546169-FC32-4371-A12A-F01DB7DFCDF8}" name="Column1" dataDxfId="1"/>
    <tableColumn id="2" xr3:uid="{54EEDE71-5C63-4BA2-8DE6-37F5E98DA29F}" name="Column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9CF06-683B-4EF2-A7B4-0AB96A00BC9B}">
  <dimension ref="A1:CW97"/>
  <sheetViews>
    <sheetView workbookViewId="0">
      <selection activeCell="B7" sqref="B7"/>
    </sheetView>
  </sheetViews>
  <sheetFormatPr defaultColWidth="8.875" defaultRowHeight="15" x14ac:dyDescent="0.2"/>
  <cols>
    <col min="1" max="1" width="62.8203125" customWidth="1"/>
    <col min="2" max="2" width="58.3828125" customWidth="1"/>
    <col min="3" max="3" width="51.38671875" customWidth="1"/>
    <col min="4" max="4" width="57.171875" customWidth="1"/>
    <col min="5" max="5" width="29.86328125" customWidth="1"/>
    <col min="6" max="6" width="41.4296875" customWidth="1"/>
    <col min="7" max="7" width="43.44921875" customWidth="1"/>
    <col min="8" max="8" width="40.89453125" customWidth="1"/>
    <col min="9" max="9" width="48.5625" customWidth="1"/>
    <col min="10" max="10" width="49.7734375" customWidth="1"/>
    <col min="11" max="11" width="48.0234375" customWidth="1"/>
    <col min="12" max="12" width="23" customWidth="1"/>
  </cols>
  <sheetData>
    <row r="1" spans="1:101" ht="35.25" customHeight="1" x14ac:dyDescent="0.45">
      <c r="A1" s="233" t="s">
        <v>0</v>
      </c>
      <c r="B1" s="299">
        <v>7888</v>
      </c>
      <c r="C1" s="234" t="s">
        <v>1</v>
      </c>
      <c r="D1" s="299">
        <v>1.1210800000000001</v>
      </c>
      <c r="E1" s="235"/>
      <c r="F1" s="73"/>
      <c r="G1" s="71"/>
      <c r="H1" s="71"/>
      <c r="I1" s="71"/>
    </row>
    <row r="2" spans="1:101" ht="37.5" customHeight="1" x14ac:dyDescent="0.45">
      <c r="A2" s="233" t="s">
        <v>2</v>
      </c>
      <c r="B2" s="297">
        <v>9090</v>
      </c>
      <c r="C2" s="234" t="s">
        <v>3</v>
      </c>
      <c r="D2" s="297">
        <v>1.1209100000000001</v>
      </c>
      <c r="E2" s="235"/>
      <c r="F2" s="71"/>
      <c r="G2" s="76"/>
      <c r="H2" s="71"/>
      <c r="I2" s="71"/>
    </row>
    <row r="3" spans="1:101" ht="42.75" customHeight="1" x14ac:dyDescent="0.45">
      <c r="A3" s="233" t="s">
        <v>4</v>
      </c>
      <c r="B3" s="346"/>
      <c r="C3" s="234" t="s">
        <v>5</v>
      </c>
      <c r="D3" s="298">
        <v>1.12087</v>
      </c>
      <c r="E3" s="235"/>
      <c r="F3" s="71"/>
      <c r="G3" s="76"/>
      <c r="H3" s="71"/>
      <c r="I3" s="144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</row>
    <row r="4" spans="1:101" ht="21" x14ac:dyDescent="0.3">
      <c r="A4" s="236" t="s">
        <v>6</v>
      </c>
      <c r="B4" s="292" t="str">
        <f>IF(
   AND(ISNUMBER(B1), ISNUMBER(B2), ISNUMBER(B3), ISNUMBER(D1), ISNUMBER(D2), ISNUMBER(D3)),
   AVERAGE(B1:B3, D1:D3),
   "CHECK VALUES"
)</f>
        <v>CHECK VALUES</v>
      </c>
      <c r="C4" s="291" t="e">
        <f>IF(AND(C9="HIGH", B4 &gt; B3, B3 &gt; B2, B2 &gt; B1, D3 &gt; D2, D2 &gt; D1), "BUY",
IF(AND(C9="LOW", B4 &lt; B3, B3 &lt; B2, B2 &lt; B1, D3 &lt; D2, D2 &lt; D1), "SELL",
IF(AND(C9="STABLE", ABS(B4-B3) &lt; 0.0001, ABS(D3-D2) &lt; 0.0001), "BUY",
IF(AND(C9="STABLE", B4 &gt; B3, D3 &gt; D2), "BUY", "SELL"))))</f>
        <v>#VALUE!</v>
      </c>
      <c r="D4" s="283"/>
      <c r="E4" s="237"/>
      <c r="F4" s="71"/>
      <c r="G4" s="76"/>
      <c r="H4" s="71"/>
      <c r="I4" s="144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</row>
    <row r="5" spans="1:101" ht="36" customHeight="1" x14ac:dyDescent="0.3">
      <c r="A5" s="239" t="str">
        <f>IF(AND(D1 &gt; D2, D2 &gt; D3, B1 &gt; B2, B2 &gt; B3, ABS(D1-D3) &gt; 0.00015, ABS(B1-B3) &gt; 0.00015), "SELL STRONG",
   IF(AND(D1 &lt; D2, D2 &lt; D3, B1 &lt; B2, B2 &lt; B3, ABS(D1-D3) &gt; 0.00015, ABS(B1-B3) &gt; 0.00015), "BUY STRONG",
   IF(AND(D1 &gt; D2, B1 &gt; B2), "SELL STRONG",
   IF(AND(D1 &lt; D2, B1 &lt; B2), "BUY STRONG", "SELL STRONG"))))</f>
        <v>SELL STRONG</v>
      </c>
      <c r="B5" s="240" t="str">
        <f>IF(
   AND(ISNUMBER(B4), ISNUMBER(B3), ISNUMBER(B2), ISNUMBER(B1),
       ISNUMBER(D3), ISNUMBER(D2), ISNUMBER(D1),
       B4 &gt; B3, B3 &gt; B2, B2 &gt; B1, D3 &gt; D2, D2 &gt; D1),
   "BUY",
   "SELL"
)</f>
        <v>SELL</v>
      </c>
      <c r="C5" s="238" t="str">
        <f>IF(
    AND(B4 &gt; B3, B3 &gt; B2, B2 &gt; B1, D3 &gt; D2, D2 &gt; D1),
    IF(C9 = "HIGH", "BUY", IF(C9 = "LOW", "SELL", "BUY")),
    IF(
        AND(B4 &lt; B3, B3 &lt; B2, B2 &lt; B1, D3 &lt; D2, D2 &lt; D1),
        IF(C9 = "HIGH", "SELL", IF(C9 = "LOW", "BUY", "SELL")),
        IF(C9 = "HIGH", "BUY", "SELL")
    )
)</f>
        <v>SELL</v>
      </c>
      <c r="D5" s="238" t="str">
        <f>IF(AND(D1 &gt; D2, D2 &gt; D3, B1 &gt; B2, B2 &gt; B3), "SELL",
   IF(AND(D1 &lt; D2, D2 &lt; D3, B1 &lt; B2, B2 &lt; B3), "BUY",
   IF(AND(D1 &gt; D2, B1 &gt; B2), "SELL",
   IF(AND(D1 &lt; D2, B1 &lt; B2), "BUY", "SELL"))))</f>
        <v>SELL</v>
      </c>
      <c r="E5" s="235"/>
      <c r="F5" s="71"/>
      <c r="G5" s="76"/>
      <c r="H5" s="71"/>
      <c r="I5" s="144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</row>
    <row r="6" spans="1:101" ht="47.25" customHeight="1" x14ac:dyDescent="0.3">
      <c r="A6" s="242" t="str">
        <f>IF(AND(D1 &gt; D2, D2 &gt; D3, B1 &gt; B2, B2 &gt; B3), "SELL",
   IF(AND(D1 &lt; D2, D2 &lt; D3, B1 &lt; B2, B2 &lt; B3), "BUY",
   IF(AND(D1 &gt; D2, B1 &gt; B2), "SELL",
   IF(AND(D1 &lt; D2, B1 &lt; B2), "BUY", "SELL"))))</f>
        <v>SELL</v>
      </c>
      <c r="B6" s="243" t="str">
        <f>IF(ABS(D1 - D3) &gt; ABS(B1 - B3)*1.3, "HIGH VOLATILITY", "STABLE")</f>
        <v>STABLE</v>
      </c>
      <c r="C6" s="286" t="e">
        <f>IF(
   AND(ISNUMBER(B4), ISNUMBER(D3), ABS(B4 - D3) &gt; 0.00015),
   IF(ABS(B4 - D3) &gt; 0.0003, "Enter at 12s, Expire at 24s", "Enter at 9s, Expire at 18s"),
   "Enter at 8s, Expire at 16s"
)</f>
        <v>#VALUE!</v>
      </c>
      <c r="D6" s="238" t="str">
        <f>IF(OR(ISBLANK(B4), ISBLANK(B3), ISBLANK(B2), ISBLANK(D3), ISBLANK(D2), ISBLANK(D1), ISBLANK(D4), ISBLANK(D5), ISBLANK(C19)),
   "SELL CONFIRMED",
   IF(AND(ISNUMBER(B4), ISNUMBER(B3), ISNUMBER(B2), ISNUMBER(D3), ISNUMBER(D2), ISNUMBER(D1), ISNUMBER(D4), ISNUMBER(D5), ISNUMBER(C19),
          C19 &gt;= 82, B4 &gt; B3, B3 &gt; B2, D3 &gt; D2, D2 &gt; D1, ABS(B4 - B3) &gt; 0.0002, ABS(D4 - D5) &lt; 0.00015), "BUY CONFIRMED",
   "SELL CONFIRMED"))</f>
        <v>SELL CONFIRMED</v>
      </c>
      <c r="E6" s="241" t="str">
        <f>IF(AND(D2 &gt; D1, B2 &gt; B1), "CONFIRM BUY",
   IF(AND(D2 &lt; D1, B2 &lt; B1), "CONFIRM SELL", "CONFIRM SELL"))</f>
        <v>CONFIRM SELL</v>
      </c>
      <c r="F6" s="71"/>
      <c r="G6" s="76"/>
      <c r="H6" s="71"/>
      <c r="I6" s="144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</row>
    <row r="7" spans="1:101" ht="41.25" customHeight="1" x14ac:dyDescent="0.3">
      <c r="A7" s="244" t="str">
        <f>IF(AND(D2 &gt; D1, D3 &gt; D2, B3 &gt; B2, B2 &gt; B1), "BUY STRONG", "SELL STRONG")</f>
        <v>SELL STRONG</v>
      </c>
      <c r="B7" s="245" t="e">
        <f>IF(ABS(B4 - B3) &gt; 0.00015, "TRADE CONFIRMED", "TRADE OK")</f>
        <v>#VALUE!</v>
      </c>
      <c r="C7" s="287" t="e">
        <f>IF(
    AND(B4 &gt; B3, B3 &gt; B2, B2 &gt; B1, D3 &gt; D2, D2 &gt; D1),
    IF(
        AND(C9="HIGH", ABS(B4-B1)&gt;0.0002, ABS(D3-D1)&gt;0.0002),
        "BUY at 10s Exp: 20s",
        IF(
            AND(C9="LOW", ABS(B4-B1)&gt;0.0001, ABS(D3-D1)&gt;0.0001),
            "SELL at 12s Exp: 24s",
            "BUY at 8s Exp: 20s"
        )
    ),
    IF(
        AND(B4 &lt; B3, B3 &lt; B2, B2 &lt; B1, D3 &lt; D2, D2 &lt; D1),
        IF(
            AND(C9="HIGH", ABS(B4-B1)&gt;0.0002, ABS(D3-D1)&gt;0.0002),
            "SELL at 12s Exp: 24s",
            IF(
                AND(C9="LOW", ABS(B4-B1)&gt;0.0001, ABS(D3-D1)&gt;0.0001),
                "BUY at 10s Exp: 20s",
                "SELL at 14s Exp: 28s"
            )
        ),
        IF(
            AND(C9="HIGH", ABS(B4-B1)&gt;0.0002, ABS(D3-D1)&gt;0.0002),
            "BUY at 8s Exp: 20s",
            "SELL at 12s Exp: 24s"
        )
    )
)</f>
        <v>#VALUE!</v>
      </c>
      <c r="D7" s="246" t="str">
        <f>IF(AND(D1 &gt; D2, D2 &gt; D3, B1 &gt; B2, B2 &gt; B3, ABS(D1-D3) &gt; 0.00015, ABS(B1-B3) &gt; 0.00015), "SELL",
   IF(AND(D1 &lt; D2, D2 &lt; D3, B1 &lt; B2, B2 &lt; B3, ABS(D1-D3) &gt; 0.00015, ABS(B1-B3) &gt; 0.00015), "BUY", "SELL"))</f>
        <v>SELL</v>
      </c>
      <c r="E7" s="235"/>
      <c r="F7" s="71"/>
      <c r="G7" s="76"/>
      <c r="H7" s="71"/>
      <c r="I7" s="144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</row>
    <row r="8" spans="1:101" ht="19.5" customHeight="1" x14ac:dyDescent="0.55000000000000004">
      <c r="A8" s="281"/>
      <c r="B8" s="293"/>
      <c r="C8" s="295" t="str">
        <f>IF(
   AND(ISNUMBER(B4), ISNUMBER(B3), ISNUMBER(B2), ISNUMBER(B1),
       ISNUMBER(D3), ISNUMBER(D2), ISNUMBER(D1),
       B4 &gt; B3, B3 &gt; B2, B2 &gt; B1, D3 &gt; D2, D2 &gt; D1),
   "BUY",
   "SELL"
)</f>
        <v>SELL</v>
      </c>
      <c r="D8" s="282"/>
      <c r="E8" s="235"/>
      <c r="F8" s="71"/>
      <c r="G8" s="76"/>
      <c r="H8" s="71"/>
      <c r="I8" s="144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</row>
    <row r="9" spans="1:101" ht="21" x14ac:dyDescent="0.3">
      <c r="C9" s="247" t="str">
        <f>IF(AND(ABS(B1-B3) &lt; 0.0004, ABS(D1-D3) &lt; 0.0004), "LOW",
   IF(AND(ABS(B1-B3) &gt;= 0.0004, ABS(B1-B3) &lt; 0.001, ABS(D1-D3) &gt;= 0.0004, ABS(D1-D3) &lt; 0.001), "MEDIUM",
   IF(AND(ABS(B1-B3) &gt;= 0.001, ABS(D1-D3) &gt;= 0.001), "HIGH", "LOW")))</f>
        <v>LOW</v>
      </c>
      <c r="D9" s="248"/>
      <c r="E9" s="235"/>
      <c r="F9" s="71"/>
      <c r="G9" s="76"/>
      <c r="H9" s="71"/>
      <c r="I9" s="144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</row>
    <row r="10" spans="1:101" ht="21" x14ac:dyDescent="0.3">
      <c r="A10" s="256" t="s">
        <v>7</v>
      </c>
      <c r="B10" s="260" t="s">
        <v>8</v>
      </c>
      <c r="C10" s="263" t="s">
        <v>9</v>
      </c>
      <c r="D10" s="269" t="s">
        <v>10</v>
      </c>
      <c r="E10" s="235"/>
      <c r="F10" s="71"/>
      <c r="G10" s="76"/>
      <c r="H10" s="71"/>
      <c r="I10" s="144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</row>
    <row r="11" spans="1:101" ht="21" x14ac:dyDescent="0.3">
      <c r="A11" s="254" t="e">
        <f>IF(ABS(B4 - D3) &gt; 0.0003, "Enter at 10s, Expire at 20s", "Enter at 8s, Expire at 16s")</f>
        <v>#VALUE!</v>
      </c>
      <c r="B11" s="262" t="str">
        <f>IF(B12="BUY", "Enter at 6s, Expire at 12s", "Enter at 7s, Expire at 13s")</f>
        <v>Enter at 7s, Expire at 13s</v>
      </c>
      <c r="C11" s="278" t="e">
        <f>IF(ABS(B4 - D3) &gt; 0.00028, "Enter at 11s, Expire at 22s", "Enter at 7s, Expire at 14s")</f>
        <v>#VALUE!</v>
      </c>
      <c r="D11" s="270" t="e">
        <f>IF(ABS(B4 - D3) &gt; 0.00032, "Enter at 14s, Expire at 28s", "Enter at 10s, Expire at 20s")</f>
        <v>#VALUE!</v>
      </c>
      <c r="E11" s="235"/>
      <c r="F11" s="71"/>
      <c r="G11" s="76"/>
      <c r="H11" s="71"/>
      <c r="I11" s="144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</row>
    <row r="12" spans="1:101" ht="21" x14ac:dyDescent="0.3">
      <c r="A12" s="254" t="e">
        <f>IF(
   AND(B4 &gt; B3, B3 &gt; B2, B2 &gt; B1, D3 &gt; D2, D2 &gt; D1, ABS(B4 - B1) &gt; 0.0002),
   "BUY",
   "SELL"
)</f>
        <v>#VALUE!</v>
      </c>
      <c r="B12" s="253" t="str">
        <f>IF(AND(B4 &gt; B3, B3 &gt; B2, D3 &gt; D2, D2 &gt; D1), "BUY", "SELL")</f>
        <v>SELL</v>
      </c>
      <c r="C12" s="264" t="e">
        <f>IF(
   AND(B4 &gt; B3, B3 &gt; B2, D3 &gt; D2, D2 &gt; D1, ABS(B4 - B1) &gt; 0.00025),
   "BUY",
   "SELL"
)</f>
        <v>#VALUE!</v>
      </c>
      <c r="D12" s="270" t="e">
        <f>IF(
   AND(B4 &gt; B3, B3 &gt; B2, D3 &gt; D2, D2 &gt; D1, ABS(B4 - B3) &lt; 0.00035),
   "BUY",
   "SELL"
)</f>
        <v>#VALUE!</v>
      </c>
      <c r="E12" s="235"/>
      <c r="F12" s="71"/>
      <c r="G12" s="76"/>
      <c r="H12" s="71"/>
      <c r="I12" s="144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</row>
    <row r="13" spans="1:101" ht="21" x14ac:dyDescent="0.3">
      <c r="A13" s="265"/>
      <c r="B13" s="266"/>
      <c r="C13" s="267"/>
      <c r="D13" s="268"/>
      <c r="E13" s="280"/>
      <c r="F13" s="71"/>
      <c r="G13" s="76"/>
      <c r="H13" s="71"/>
      <c r="I13" s="144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</row>
    <row r="14" spans="1:101" ht="21" x14ac:dyDescent="0.3">
      <c r="A14" s="276" t="s">
        <v>11</v>
      </c>
      <c r="B14" s="271" t="s">
        <v>12</v>
      </c>
      <c r="C14" s="273" t="s">
        <v>13</v>
      </c>
      <c r="D14" s="274" t="s">
        <v>14</v>
      </c>
      <c r="E14" s="250"/>
      <c r="F14" s="232"/>
      <c r="G14" s="232"/>
      <c r="H14" s="73"/>
      <c r="I14" s="144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</row>
    <row r="15" spans="1:101" ht="21" x14ac:dyDescent="0.3">
      <c r="A15" s="261" t="e">
        <f>IF(ABS(B4 - D3) &gt; 0.00025, "Enter at 8s, Expire at 20s", "Enter at 8s, Expire at 16s")</f>
        <v>#VALUE!</v>
      </c>
      <c r="B15" s="272" t="e">
        <f>IF(
   ABS(B4 - D3) &gt; 0.00028,
   "Enter at 8s, Expire at 20s",
   "Enter at 9s, Expire at 18s"
)</f>
        <v>#VALUE!</v>
      </c>
      <c r="C15" s="264"/>
      <c r="D15" s="275" t="e">
        <f>IF(ABS(B4 - D3) &gt; 0.0003, "Enter at 14s, Expire at 28s", "Enter at 10s, Expire at 20s")</f>
        <v>#VALUE!</v>
      </c>
      <c r="E15" s="235"/>
      <c r="F15" s="71"/>
      <c r="G15" s="71"/>
      <c r="H15" s="71"/>
      <c r="I15" s="23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</row>
    <row r="16" spans="1:101" ht="24" customHeight="1" x14ac:dyDescent="0.3">
      <c r="A16" s="277" t="e">
        <f>IF(
   AND(B4 &gt; B3, B3 &gt; B2, D3 &gt; D2, D2 &gt; D1, ABS(B4 - B1) &gt; 0.0002),
   "BUY",
   "SELL"
)</f>
        <v>#VALUE!</v>
      </c>
      <c r="B16" s="272" t="e">
        <f>IF(
   AND(B4 &gt; B3, B3 &gt; B2, D3 &gt; D2, D2 &gt; D1, ABS(B4 - B2) &gt; 0.00025, ABS(B4 - B1) &lt; 0.0004),
   "BUY",
   "SELL"
)</f>
        <v>#VALUE!</v>
      </c>
      <c r="C16" s="264" t="e">
        <f>IF(
   AND(B4 &gt; B3, B3 &gt; B2, D3 &gt; D2, D2 &gt; D1, ABS(B4 - B2) &gt; 0.0002),
   "BUY",
   "SELL"
)</f>
        <v>#VALUE!</v>
      </c>
      <c r="D16" s="294" t="e">
        <f>IF(
   AND(B4 &lt; B3, B3 &lt; B2, D3 &lt; D2, D2 &lt; D1, ABS(B4 - B3) &gt; 0.0003),
   "SELL",
   "BUY"
)</f>
        <v>#VALUE!</v>
      </c>
      <c r="E16" s="235"/>
      <c r="F16" s="71"/>
      <c r="G16" s="71"/>
      <c r="H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71"/>
      <c r="CW16" s="71"/>
    </row>
    <row r="17" spans="1:101" ht="21" x14ac:dyDescent="0.3">
      <c r="A17" s="279"/>
      <c r="B17" s="279"/>
      <c r="C17" s="235"/>
      <c r="D17" s="235"/>
      <c r="E17" s="235"/>
      <c r="F17" s="71"/>
      <c r="G17" s="71"/>
      <c r="H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</row>
    <row r="18" spans="1:101" ht="37.5" x14ac:dyDescent="0.55000000000000004">
      <c r="A18" s="309" t="s">
        <v>15</v>
      </c>
      <c r="B18" s="290" t="str">
        <f>IF(B19="BUY", "Enter at 5s for 6 seconds", "Enter at 6s for 7 seconds")</f>
        <v>Enter at 6s for 7 seconds</v>
      </c>
      <c r="C18" s="22" t="str">
        <f>IF(
   AND(ISNUMBER(B4), ISNUMBER(B3), ISNUMBER(B2), ISNUMBER(B1),
       ISNUMBER(D3), ISNUMBER(D2), ISNUMBER(D1),
       B4 &gt; B3, B3 &gt; B2, B2 &gt; B1, D3 &gt; D2, D2 &gt; D1),
   "BUY CONFIRMED",
   "SELL CONFIRMED"
)</f>
        <v>SELL CONFIRMED</v>
      </c>
      <c r="D18" s="310" t="e">
        <f>IF(AND(ABS(B4-B3) &gt; 0.0005, ABS(B3-B2) &gt; 0.0005, ABS(B2-B1) &gt; 0.0005), "HIGH VOLATILITY - WAIT", "STABLE - SAFE TO TRADE")</f>
        <v>#VALUE!</v>
      </c>
      <c r="E18" s="235"/>
      <c r="F18" s="71"/>
      <c r="G18" s="71"/>
      <c r="H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71"/>
      <c r="CW18" s="71"/>
    </row>
    <row r="19" spans="1:101" ht="55.5" customHeight="1" x14ac:dyDescent="0.5">
      <c r="A19" s="284"/>
      <c r="B19" s="302" t="str">
        <f>IF(C9="HIGH", "Enter at 6s, Expire at 12s",
   IF(C9="MEDIUM", "Enter at 8s, Expire at 16s",
   IF(C9="LOW", "Enter at 10s, Expire at 20s", "Check Volatility First")))</f>
        <v>Enter at 10s, Expire at 20s</v>
      </c>
      <c r="C19" s="23" t="str">
        <f>IF(AND(ABS(E1-E2) &lt; 0.01, ABS(E2-E3) &lt; 0.01), "PAYOUT STABLE - TRADE ALLOWED", "PAYOUT CHANGING - WAIT")</f>
        <v>PAYOUT STABLE - TRADE ALLOWED</v>
      </c>
      <c r="D19" s="288"/>
      <c r="E19" s="235"/>
      <c r="F19" s="71"/>
      <c r="G19" s="71"/>
      <c r="H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</row>
    <row r="20" spans="1:101" ht="37.5" x14ac:dyDescent="0.55000000000000004">
      <c r="A20" s="251"/>
      <c r="B20" s="23" t="e">
        <f>IF(AND(B4 &gt; B3, B3 &gt; B2, D3 &gt; D2, ABS(B4-B3) &gt; 0.0001), "BUY - CONFIRMED",
   IF(AND(B4 &lt; B3, B3 &lt; B2, D3 &lt; D2, ABS(B4-B3) &gt; 0.0001), "SELL - CONFIRMED",
   "WAIT - CHECK VOLATILITY"))</f>
        <v>#VALUE!</v>
      </c>
      <c r="C20" s="303" t="str">
        <f>IF(AND(ROW()&gt;1, B4&lt;&gt;B3), "YES", "NO")</f>
        <v>YES</v>
      </c>
      <c r="D20" s="235"/>
      <c r="E20" s="235"/>
      <c r="F20" s="71"/>
      <c r="G20" s="71"/>
      <c r="H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  <c r="CW20" s="71"/>
    </row>
    <row r="21" spans="1:101" ht="31.5" x14ac:dyDescent="0.45">
      <c r="A21" s="252"/>
      <c r="B21" s="304" t="e">
        <f>IF(AND(ABS(B4 - D3) &lt; 0.00015, F2="NO"), "SKIP TRADE", "TRADE OK")</f>
        <v>#VALUE!</v>
      </c>
      <c r="C21" s="23" t="str">
        <f>IF(D6="BUY CONFIRMED", "BUY", "SELL")</f>
        <v>SELL</v>
      </c>
      <c r="D21" s="235"/>
      <c r="E21" s="235"/>
      <c r="F21" s="71"/>
      <c r="G21" s="71"/>
      <c r="H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  <c r="CQ21" s="71"/>
      <c r="CR21" s="71"/>
      <c r="CS21" s="71"/>
      <c r="CT21" s="71"/>
      <c r="CU21" s="71"/>
      <c r="CV21" s="71"/>
      <c r="CW21" s="71"/>
    </row>
    <row r="22" spans="1:101" ht="21" x14ac:dyDescent="0.3">
      <c r="A22" s="257"/>
      <c r="B22" s="235"/>
      <c r="C22" s="237"/>
      <c r="D22" s="235"/>
      <c r="E22" s="235"/>
      <c r="F22" s="71"/>
      <c r="G22" s="71"/>
      <c r="H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/>
      <c r="CQ22" s="71"/>
      <c r="CR22" s="71"/>
      <c r="CS22" s="71"/>
      <c r="CT22" s="71"/>
      <c r="CU22" s="71"/>
      <c r="CV22" s="71"/>
      <c r="CW22" s="71"/>
    </row>
    <row r="23" spans="1:101" ht="31.5" x14ac:dyDescent="0.45">
      <c r="A23" s="306"/>
      <c r="B23" s="305"/>
      <c r="C23" s="21"/>
      <c r="D23" s="235"/>
      <c r="E23" s="235"/>
      <c r="F23" s="71"/>
      <c r="G23" s="71"/>
      <c r="H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/>
      <c r="CW23" s="71"/>
    </row>
    <row r="24" spans="1:101" ht="31.5" x14ac:dyDescent="0.45">
      <c r="A24" s="21"/>
      <c r="B24" s="307"/>
      <c r="C24" s="308"/>
      <c r="D24" s="250"/>
      <c r="E24" s="235"/>
      <c r="F24" s="71"/>
      <c r="G24" s="71"/>
      <c r="H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1"/>
      <c r="CK24" s="71"/>
      <c r="CL24" s="71"/>
      <c r="CM24" s="71"/>
      <c r="CN24" s="71"/>
      <c r="CO24" s="71"/>
      <c r="CP24" s="71"/>
      <c r="CQ24" s="71"/>
      <c r="CR24" s="71"/>
      <c r="CS24" s="71"/>
      <c r="CT24" s="71"/>
      <c r="CU24" s="71"/>
      <c r="CV24" s="71"/>
      <c r="CW24" s="71"/>
    </row>
    <row r="25" spans="1:101" ht="31.5" x14ac:dyDescent="0.45">
      <c r="A25" s="21"/>
      <c r="B25" s="21"/>
      <c r="C25" s="235"/>
      <c r="D25" s="235"/>
      <c r="E25" s="255"/>
      <c r="F25" s="73"/>
      <c r="G25" s="73"/>
      <c r="H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71"/>
      <c r="CL25" s="71"/>
      <c r="CM25" s="71"/>
      <c r="CN25" s="71"/>
      <c r="CO25" s="71"/>
      <c r="CP25" s="71"/>
      <c r="CQ25" s="71"/>
      <c r="CR25" s="71"/>
      <c r="CS25" s="71"/>
      <c r="CT25" s="71"/>
      <c r="CU25" s="71"/>
      <c r="CV25" s="71"/>
      <c r="CW25" s="71"/>
    </row>
    <row r="26" spans="1:101" ht="21" x14ac:dyDescent="0.3">
      <c r="A26" s="235"/>
      <c r="B26" s="235"/>
      <c r="C26" s="235"/>
      <c r="D26" s="249"/>
      <c r="E26" s="235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6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1"/>
      <c r="CK26" s="71"/>
      <c r="CL26" s="71"/>
      <c r="CM26" s="71"/>
      <c r="CN26" s="71"/>
      <c r="CO26" s="71"/>
      <c r="CP26" s="71"/>
      <c r="CQ26" s="71"/>
      <c r="CR26" s="71"/>
      <c r="CS26" s="71"/>
      <c r="CT26" s="71"/>
      <c r="CU26" s="71"/>
      <c r="CV26" s="71"/>
      <c r="CW26" s="71"/>
    </row>
    <row r="27" spans="1:101" ht="21" x14ac:dyDescent="0.3">
      <c r="A27" s="258"/>
      <c r="B27" s="235"/>
      <c r="C27" s="235"/>
      <c r="D27" s="249"/>
      <c r="E27" s="235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6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71"/>
      <c r="CW27" s="71"/>
    </row>
    <row r="28" spans="1:101" ht="21" x14ac:dyDescent="0.3">
      <c r="A28" s="259"/>
      <c r="B28" s="259"/>
      <c r="C28" s="235"/>
      <c r="D28" s="249"/>
      <c r="E28" s="235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6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71"/>
      <c r="CL28" s="71"/>
      <c r="CM28" s="71"/>
      <c r="CN28" s="71"/>
      <c r="CO28" s="71"/>
      <c r="CP28" s="71"/>
      <c r="CQ28" s="71"/>
      <c r="CR28" s="71"/>
      <c r="CS28" s="71"/>
      <c r="CT28" s="71"/>
      <c r="CU28" s="71"/>
      <c r="CV28" s="71"/>
      <c r="CW28" s="71"/>
    </row>
    <row r="29" spans="1:101" ht="21" x14ac:dyDescent="0.3">
      <c r="A29" s="235"/>
      <c r="B29" s="235"/>
      <c r="C29" s="235"/>
      <c r="D29" s="249"/>
      <c r="E29" s="235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6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1"/>
      <c r="CP29" s="71"/>
      <c r="CQ29" s="71"/>
      <c r="CR29" s="71"/>
      <c r="CS29" s="71"/>
      <c r="CT29" s="71"/>
      <c r="CU29" s="71"/>
      <c r="CV29" s="71"/>
      <c r="CW29" s="71"/>
    </row>
    <row r="30" spans="1:101" ht="21" x14ac:dyDescent="0.3">
      <c r="A30" s="235"/>
      <c r="B30" s="235"/>
      <c r="C30" s="235"/>
      <c r="D30" s="249"/>
      <c r="E30" s="235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6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71"/>
      <c r="BZ30" s="71"/>
      <c r="CA30" s="71"/>
      <c r="CB30" s="71"/>
      <c r="CC30" s="71"/>
      <c r="CD30" s="71"/>
      <c r="CE30" s="71"/>
      <c r="CF30" s="71"/>
      <c r="CG30" s="71"/>
      <c r="CH30" s="71"/>
      <c r="CI30" s="71"/>
      <c r="CJ30" s="71"/>
      <c r="CK30" s="71"/>
      <c r="CL30" s="71"/>
      <c r="CM30" s="71"/>
      <c r="CN30" s="71"/>
      <c r="CO30" s="71"/>
      <c r="CP30" s="71"/>
      <c r="CQ30" s="71"/>
      <c r="CR30" s="71"/>
      <c r="CS30" s="71"/>
      <c r="CT30" s="71"/>
      <c r="CU30" s="71"/>
      <c r="CV30" s="71"/>
      <c r="CW30" s="71"/>
    </row>
    <row r="31" spans="1:101" ht="21" x14ac:dyDescent="0.3">
      <c r="A31" s="252"/>
      <c r="B31" s="251"/>
      <c r="C31" s="235"/>
      <c r="D31" s="249"/>
      <c r="E31" s="235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6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/>
      <c r="CV31" s="71"/>
      <c r="CW31" s="71"/>
    </row>
    <row r="32" spans="1:101" ht="21" x14ac:dyDescent="0.3">
      <c r="A32" s="235"/>
      <c r="B32" s="251"/>
      <c r="C32" s="235"/>
      <c r="D32" s="249"/>
      <c r="E32" s="235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6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1"/>
      <c r="CF32" s="71"/>
      <c r="CG32" s="71"/>
      <c r="CH32" s="71"/>
      <c r="CI32" s="71"/>
      <c r="CJ32" s="71"/>
      <c r="CK32" s="71"/>
      <c r="CL32" s="71"/>
      <c r="CM32" s="71"/>
      <c r="CN32" s="71"/>
      <c r="CO32" s="71"/>
      <c r="CP32" s="71"/>
      <c r="CQ32" s="71"/>
      <c r="CR32" s="71"/>
      <c r="CS32" s="71"/>
      <c r="CT32" s="71"/>
      <c r="CU32" s="71"/>
      <c r="CV32" s="71"/>
      <c r="CW32" s="71"/>
    </row>
    <row r="33" spans="1:101" ht="21" x14ac:dyDescent="0.3">
      <c r="A33" s="235"/>
      <c r="B33" s="251"/>
      <c r="C33" s="235"/>
      <c r="D33" s="249"/>
      <c r="E33" s="235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6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1"/>
      <c r="CF33" s="71"/>
      <c r="CG33" s="71"/>
      <c r="CH33" s="71"/>
      <c r="CI33" s="71"/>
      <c r="CJ33" s="71"/>
      <c r="CK33" s="71"/>
      <c r="CL33" s="71"/>
      <c r="CM33" s="71"/>
      <c r="CN33" s="71"/>
      <c r="CO33" s="71"/>
      <c r="CP33" s="71"/>
      <c r="CQ33" s="71"/>
      <c r="CR33" s="71"/>
      <c r="CS33" s="71"/>
      <c r="CT33" s="71"/>
      <c r="CU33" s="71"/>
      <c r="CV33" s="71"/>
      <c r="CW33" s="71"/>
    </row>
    <row r="34" spans="1:101" ht="21" x14ac:dyDescent="0.3">
      <c r="A34" s="235"/>
      <c r="B34" s="251"/>
      <c r="C34" s="235"/>
      <c r="D34" s="249"/>
      <c r="E34" s="235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6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  <c r="CA34" s="71"/>
      <c r="CB34" s="71"/>
      <c r="CC34" s="71"/>
      <c r="CD34" s="71"/>
      <c r="CE34" s="71"/>
      <c r="CF34" s="71"/>
      <c r="CG34" s="71"/>
      <c r="CH34" s="71"/>
      <c r="CI34" s="71"/>
      <c r="CJ34" s="71"/>
      <c r="CK34" s="71"/>
      <c r="CL34" s="71"/>
      <c r="CM34" s="71"/>
      <c r="CN34" s="71"/>
      <c r="CO34" s="71"/>
      <c r="CP34" s="71"/>
      <c r="CQ34" s="71"/>
      <c r="CR34" s="71"/>
      <c r="CS34" s="71"/>
      <c r="CT34" s="71"/>
      <c r="CU34" s="71"/>
      <c r="CV34" s="71"/>
      <c r="CW34" s="71"/>
    </row>
    <row r="35" spans="1:101" ht="21" x14ac:dyDescent="0.3">
      <c r="A35" s="235"/>
      <c r="B35" s="235"/>
      <c r="C35" s="235"/>
      <c r="D35" s="249"/>
      <c r="E35" s="235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6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1"/>
      <c r="CK35" s="71"/>
      <c r="CL35" s="71"/>
      <c r="CM35" s="71"/>
      <c r="CN35" s="71"/>
      <c r="CO35" s="71"/>
      <c r="CP35" s="71"/>
      <c r="CQ35" s="71"/>
      <c r="CR35" s="71"/>
      <c r="CS35" s="71"/>
      <c r="CT35" s="71"/>
      <c r="CU35" s="71"/>
      <c r="CV35" s="71"/>
      <c r="CW35" s="71"/>
    </row>
    <row r="36" spans="1:101" ht="21" x14ac:dyDescent="0.3">
      <c r="A36" s="235"/>
      <c r="B36" s="235"/>
      <c r="C36" s="235"/>
      <c r="D36" s="249"/>
      <c r="E36" s="235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6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1"/>
      <c r="BZ36" s="71"/>
      <c r="CA36" s="71"/>
      <c r="CB36" s="71"/>
      <c r="CC36" s="71"/>
      <c r="CD36" s="71"/>
      <c r="CE36" s="71"/>
      <c r="CF36" s="71"/>
      <c r="CG36" s="71"/>
      <c r="CH36" s="71"/>
      <c r="CI36" s="71"/>
      <c r="CJ36" s="71"/>
      <c r="CK36" s="71"/>
      <c r="CL36" s="71"/>
      <c r="CM36" s="71"/>
      <c r="CN36" s="71"/>
      <c r="CO36" s="71"/>
      <c r="CP36" s="71"/>
      <c r="CQ36" s="71"/>
      <c r="CR36" s="71"/>
      <c r="CS36" s="71"/>
      <c r="CT36" s="71"/>
      <c r="CU36" s="71"/>
      <c r="CV36" s="71"/>
      <c r="CW36" s="71"/>
    </row>
    <row r="37" spans="1:101" ht="21" x14ac:dyDescent="0.3">
      <c r="A37" s="235"/>
      <c r="B37" s="235"/>
      <c r="C37" s="235"/>
      <c r="D37" s="249"/>
      <c r="E37" s="235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6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  <c r="CA37" s="71"/>
      <c r="CB37" s="71"/>
      <c r="CC37" s="71"/>
      <c r="CD37" s="71"/>
      <c r="CE37" s="71"/>
      <c r="CF37" s="71"/>
      <c r="CG37" s="71"/>
      <c r="CH37" s="71"/>
      <c r="CI37" s="71"/>
      <c r="CJ37" s="71"/>
      <c r="CK37" s="71"/>
      <c r="CL37" s="71"/>
      <c r="CM37" s="71"/>
      <c r="CN37" s="71"/>
      <c r="CO37" s="71"/>
      <c r="CP37" s="71"/>
      <c r="CQ37" s="71"/>
      <c r="CR37" s="71"/>
      <c r="CS37" s="71"/>
      <c r="CT37" s="71"/>
      <c r="CU37" s="71"/>
      <c r="CV37" s="71"/>
      <c r="CW37" s="71"/>
    </row>
    <row r="38" spans="1:101" ht="21" x14ac:dyDescent="0.3">
      <c r="A38" s="235"/>
      <c r="B38" s="235"/>
      <c r="C38" s="235"/>
      <c r="D38" s="249"/>
      <c r="E38" s="235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6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1"/>
      <c r="CF38" s="71"/>
      <c r="CG38" s="71"/>
      <c r="CH38" s="71"/>
      <c r="CI38" s="71"/>
      <c r="CJ38" s="71"/>
      <c r="CK38" s="71"/>
      <c r="CL38" s="71"/>
      <c r="CM38" s="71"/>
      <c r="CN38" s="71"/>
      <c r="CO38" s="71"/>
      <c r="CP38" s="71"/>
      <c r="CQ38" s="71"/>
      <c r="CR38" s="71"/>
      <c r="CS38" s="71"/>
      <c r="CT38" s="71"/>
      <c r="CU38" s="71"/>
      <c r="CV38" s="71"/>
      <c r="CW38" s="71"/>
    </row>
    <row r="39" spans="1:101" ht="21" x14ac:dyDescent="0.3">
      <c r="A39" s="235"/>
      <c r="B39" s="235"/>
      <c r="C39" s="235"/>
      <c r="D39" s="249"/>
      <c r="E39" s="235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6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  <c r="CK39" s="71"/>
      <c r="CL39" s="71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</row>
    <row r="40" spans="1:101" ht="21" x14ac:dyDescent="0.3">
      <c r="A40" s="235"/>
      <c r="B40" s="235"/>
      <c r="C40" s="235"/>
      <c r="D40" s="249"/>
      <c r="E40" s="235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6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  <c r="CC40" s="71"/>
      <c r="CD40" s="71"/>
      <c r="CE40" s="71"/>
      <c r="CF40" s="71"/>
      <c r="CG40" s="71"/>
      <c r="CH40" s="71"/>
      <c r="CI40" s="71"/>
      <c r="CJ40" s="71"/>
      <c r="CK40" s="71"/>
      <c r="CL40" s="71"/>
      <c r="CM40" s="71"/>
      <c r="CN40" s="71"/>
      <c r="CO40" s="71"/>
      <c r="CP40" s="71"/>
      <c r="CQ40" s="71"/>
      <c r="CR40" s="71"/>
      <c r="CS40" s="71"/>
      <c r="CT40" s="71"/>
      <c r="CU40" s="71"/>
      <c r="CV40" s="71"/>
      <c r="CW40" s="71"/>
    </row>
    <row r="41" spans="1:101" ht="21" x14ac:dyDescent="0.3">
      <c r="A41" s="235"/>
      <c r="B41" s="235"/>
      <c r="C41" s="235"/>
      <c r="D41" s="249"/>
      <c r="E41" s="235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6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1"/>
      <c r="CF41" s="71"/>
      <c r="CG41" s="71"/>
      <c r="CH41" s="71"/>
      <c r="CI41" s="71"/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</row>
    <row r="42" spans="1:101" ht="21" x14ac:dyDescent="0.3">
      <c r="A42" s="235"/>
      <c r="B42" s="235"/>
      <c r="C42" s="235"/>
      <c r="D42" s="249"/>
      <c r="E42" s="235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6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  <c r="CC42" s="71"/>
      <c r="CD42" s="71"/>
      <c r="CE42" s="71"/>
      <c r="CF42" s="71"/>
      <c r="CG42" s="71"/>
      <c r="CH42" s="71"/>
      <c r="CI42" s="71"/>
      <c r="CJ42" s="71"/>
      <c r="CK42" s="71"/>
      <c r="CL42" s="71"/>
      <c r="CM42" s="71"/>
      <c r="CN42" s="71"/>
      <c r="CO42" s="71"/>
      <c r="CP42" s="71"/>
      <c r="CQ42" s="71"/>
      <c r="CR42" s="71"/>
      <c r="CS42" s="71"/>
      <c r="CT42" s="71"/>
      <c r="CU42" s="71"/>
      <c r="CV42" s="71"/>
      <c r="CW42" s="71"/>
    </row>
    <row r="43" spans="1:101" ht="21" x14ac:dyDescent="0.3">
      <c r="A43" s="235"/>
      <c r="B43" s="235"/>
      <c r="C43" s="235"/>
      <c r="D43" s="249"/>
      <c r="E43" s="235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6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1"/>
      <c r="CK43" s="71"/>
      <c r="CL43" s="71"/>
      <c r="CM43" s="71"/>
      <c r="CN43" s="71"/>
      <c r="CO43" s="71"/>
      <c r="CP43" s="71"/>
      <c r="CQ43" s="71"/>
      <c r="CR43" s="71"/>
      <c r="CS43" s="71"/>
      <c r="CT43" s="71"/>
      <c r="CU43" s="71"/>
      <c r="CV43" s="71"/>
      <c r="CW43" s="71"/>
    </row>
    <row r="44" spans="1:101" ht="21" x14ac:dyDescent="0.3">
      <c r="A44" s="235"/>
      <c r="B44" s="235"/>
      <c r="C44" s="235"/>
      <c r="D44" s="249"/>
      <c r="E44" s="235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6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</row>
    <row r="45" spans="1:101" ht="21" x14ac:dyDescent="0.3">
      <c r="A45" s="235"/>
      <c r="B45" s="235"/>
      <c r="C45" s="235"/>
      <c r="D45" s="249"/>
      <c r="E45" s="235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6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1"/>
      <c r="CG45" s="71"/>
      <c r="CH45" s="71"/>
      <c r="CI45" s="71"/>
      <c r="CJ45" s="71"/>
      <c r="CK45" s="71"/>
      <c r="CL45" s="71"/>
      <c r="CM45" s="71"/>
      <c r="CN45" s="71"/>
      <c r="CO45" s="71"/>
      <c r="CP45" s="71"/>
      <c r="CQ45" s="71"/>
      <c r="CR45" s="71"/>
      <c r="CS45" s="71"/>
      <c r="CT45" s="71"/>
      <c r="CU45" s="71"/>
      <c r="CV45" s="71"/>
      <c r="CW45" s="71"/>
    </row>
    <row r="46" spans="1:101" ht="21" x14ac:dyDescent="0.3">
      <c r="A46" s="235"/>
      <c r="B46" s="235"/>
      <c r="C46" s="235"/>
      <c r="D46" s="249"/>
      <c r="E46" s="235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6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1"/>
      <c r="CG46" s="71"/>
      <c r="CH46" s="71"/>
      <c r="CI46" s="71"/>
      <c r="CJ46" s="71"/>
      <c r="CK46" s="71"/>
      <c r="CL46" s="71"/>
      <c r="CM46" s="71"/>
      <c r="CN46" s="71"/>
      <c r="CO46" s="71"/>
      <c r="CP46" s="71"/>
      <c r="CQ46" s="71"/>
      <c r="CR46" s="71"/>
      <c r="CS46" s="71"/>
      <c r="CT46" s="71"/>
      <c r="CU46" s="71"/>
      <c r="CV46" s="71"/>
      <c r="CW46" s="71"/>
    </row>
    <row r="47" spans="1:101" ht="21" x14ac:dyDescent="0.3">
      <c r="A47" s="235"/>
      <c r="B47" s="235"/>
      <c r="C47" s="235"/>
      <c r="D47" s="249"/>
      <c r="E47" s="235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6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1"/>
      <c r="CD47" s="71"/>
      <c r="CE47" s="71"/>
      <c r="CF47" s="71"/>
      <c r="CG47" s="71"/>
      <c r="CH47" s="71"/>
      <c r="CI47" s="71"/>
      <c r="CJ47" s="71"/>
      <c r="CK47" s="71"/>
      <c r="CL47" s="71"/>
      <c r="CM47" s="71"/>
      <c r="CN47" s="71"/>
      <c r="CO47" s="71"/>
      <c r="CP47" s="71"/>
      <c r="CQ47" s="71"/>
      <c r="CR47" s="71"/>
      <c r="CS47" s="71"/>
      <c r="CT47" s="71"/>
      <c r="CU47" s="71"/>
      <c r="CV47" s="71"/>
      <c r="CW47" s="71"/>
    </row>
    <row r="48" spans="1:101" ht="21" x14ac:dyDescent="0.3">
      <c r="A48" s="235"/>
      <c r="B48" s="235"/>
      <c r="C48" s="235"/>
      <c r="D48" s="249"/>
      <c r="E48" s="235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6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  <c r="BV48" s="71"/>
      <c r="BW48" s="71"/>
      <c r="BX48" s="71"/>
      <c r="BY48" s="71"/>
      <c r="BZ48" s="71"/>
      <c r="CA48" s="71"/>
      <c r="CB48" s="71"/>
      <c r="CC48" s="71"/>
      <c r="CD48" s="71"/>
      <c r="CE48" s="71"/>
      <c r="CF48" s="71"/>
      <c r="CG48" s="71"/>
      <c r="CH48" s="71"/>
      <c r="CI48" s="71"/>
      <c r="CJ48" s="71"/>
      <c r="CK48" s="71"/>
      <c r="CL48" s="71"/>
      <c r="CM48" s="71"/>
      <c r="CN48" s="71"/>
      <c r="CO48" s="71"/>
      <c r="CP48" s="71"/>
      <c r="CQ48" s="71"/>
      <c r="CR48" s="71"/>
      <c r="CS48" s="71"/>
      <c r="CT48" s="71"/>
      <c r="CU48" s="71"/>
      <c r="CV48" s="71"/>
      <c r="CW48" s="71"/>
    </row>
    <row r="49" spans="1:101" ht="21" x14ac:dyDescent="0.3">
      <c r="A49" s="235"/>
      <c r="B49" s="235"/>
      <c r="C49" s="235"/>
      <c r="D49" s="249"/>
      <c r="E49" s="235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6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D49" s="71"/>
      <c r="CE49" s="71"/>
      <c r="CF49" s="71"/>
      <c r="CG49" s="71"/>
      <c r="CH49" s="71"/>
      <c r="CI49" s="71"/>
      <c r="CJ49" s="71"/>
      <c r="CK49" s="71"/>
      <c r="CL49" s="71"/>
      <c r="CM49" s="71"/>
      <c r="CN49" s="71"/>
      <c r="CO49" s="71"/>
      <c r="CP49" s="71"/>
      <c r="CQ49" s="71"/>
      <c r="CR49" s="71"/>
      <c r="CS49" s="71"/>
      <c r="CT49" s="71"/>
      <c r="CU49" s="71"/>
      <c r="CV49" s="71"/>
      <c r="CW49" s="71"/>
    </row>
    <row r="50" spans="1:101" ht="21" x14ac:dyDescent="0.3">
      <c r="A50" s="235"/>
      <c r="B50" s="235"/>
      <c r="C50" s="235"/>
      <c r="D50" s="249"/>
      <c r="E50" s="235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6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71"/>
      <c r="CF50" s="71"/>
      <c r="CG50" s="71"/>
      <c r="CH50" s="71"/>
      <c r="CI50" s="71"/>
      <c r="CJ50" s="71"/>
      <c r="CK50" s="71"/>
      <c r="CL50" s="71"/>
      <c r="CM50" s="71"/>
      <c r="CN50" s="71"/>
      <c r="CO50" s="71"/>
      <c r="CP50" s="71"/>
      <c r="CQ50" s="71"/>
      <c r="CR50" s="71"/>
      <c r="CS50" s="71"/>
      <c r="CT50" s="71"/>
      <c r="CU50" s="71"/>
      <c r="CV50" s="71"/>
      <c r="CW50" s="71"/>
    </row>
    <row r="51" spans="1:101" ht="21" x14ac:dyDescent="0.3">
      <c r="A51" s="235"/>
      <c r="B51" s="235"/>
      <c r="C51" s="235"/>
      <c r="D51" s="249"/>
      <c r="E51" s="235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6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1"/>
      <c r="CD51" s="71"/>
      <c r="CE51" s="71"/>
      <c r="CF51" s="71"/>
      <c r="CG51" s="71"/>
      <c r="CH51" s="71"/>
      <c r="CI51" s="71"/>
      <c r="CJ51" s="71"/>
      <c r="CK51" s="71"/>
      <c r="CL51" s="71"/>
      <c r="CM51" s="71"/>
      <c r="CN51" s="71"/>
      <c r="CO51" s="71"/>
      <c r="CP51" s="71"/>
      <c r="CQ51" s="71"/>
      <c r="CR51" s="71"/>
      <c r="CS51" s="71"/>
      <c r="CT51" s="71"/>
      <c r="CU51" s="71"/>
      <c r="CV51" s="71"/>
      <c r="CW51" s="71"/>
    </row>
    <row r="52" spans="1:101" ht="21" x14ac:dyDescent="0.3">
      <c r="A52" s="235"/>
      <c r="B52" s="235"/>
      <c r="C52" s="235"/>
      <c r="D52" s="249"/>
      <c r="E52" s="235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6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1"/>
      <c r="BU52" s="71"/>
      <c r="BV52" s="71"/>
      <c r="BW52" s="71"/>
      <c r="BX52" s="71"/>
      <c r="BY52" s="71"/>
      <c r="BZ52" s="71"/>
      <c r="CA52" s="71"/>
      <c r="CB52" s="71"/>
      <c r="CC52" s="71"/>
      <c r="CD52" s="71"/>
      <c r="CE52" s="71"/>
      <c r="CF52" s="71"/>
      <c r="CG52" s="71"/>
      <c r="CH52" s="71"/>
      <c r="CI52" s="71"/>
      <c r="CJ52" s="71"/>
      <c r="CK52" s="71"/>
      <c r="CL52" s="71"/>
      <c r="CM52" s="71"/>
      <c r="CN52" s="71"/>
      <c r="CO52" s="71"/>
      <c r="CP52" s="71"/>
      <c r="CQ52" s="71"/>
      <c r="CR52" s="71"/>
      <c r="CS52" s="71"/>
      <c r="CT52" s="71"/>
      <c r="CU52" s="71"/>
      <c r="CV52" s="71"/>
      <c r="CW52" s="71"/>
    </row>
    <row r="53" spans="1:101" ht="21" x14ac:dyDescent="0.3">
      <c r="A53" s="235"/>
      <c r="B53" s="235"/>
      <c r="C53" s="235"/>
      <c r="D53" s="249"/>
      <c r="E53" s="235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6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71"/>
      <c r="BY53" s="71"/>
      <c r="BZ53" s="71"/>
      <c r="CA53" s="71"/>
      <c r="CB53" s="71"/>
      <c r="CC53" s="71"/>
      <c r="CD53" s="71"/>
      <c r="CE53" s="71"/>
      <c r="CF53" s="71"/>
      <c r="CG53" s="71"/>
      <c r="CH53" s="71"/>
      <c r="CI53" s="71"/>
      <c r="CJ53" s="71"/>
      <c r="CK53" s="71"/>
      <c r="CL53" s="71"/>
      <c r="CM53" s="71"/>
      <c r="CN53" s="71"/>
      <c r="CO53" s="71"/>
      <c r="CP53" s="71"/>
      <c r="CQ53" s="71"/>
      <c r="CR53" s="71"/>
      <c r="CS53" s="71"/>
      <c r="CT53" s="71"/>
      <c r="CU53" s="71"/>
      <c r="CV53" s="71"/>
      <c r="CW53" s="71"/>
    </row>
    <row r="54" spans="1:101" ht="21" x14ac:dyDescent="0.3">
      <c r="A54" s="235"/>
      <c r="B54" s="235"/>
      <c r="C54" s="235"/>
      <c r="D54" s="249"/>
      <c r="E54" s="235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6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  <c r="CA54" s="71"/>
      <c r="CB54" s="71"/>
      <c r="CC54" s="71"/>
      <c r="CD54" s="71"/>
      <c r="CE54" s="71"/>
      <c r="CF54" s="71"/>
      <c r="CG54" s="71"/>
      <c r="CH54" s="71"/>
      <c r="CI54" s="71"/>
      <c r="CJ54" s="71"/>
      <c r="CK54" s="71"/>
      <c r="CL54" s="71"/>
      <c r="CM54" s="71"/>
      <c r="CN54" s="71"/>
      <c r="CO54" s="71"/>
      <c r="CP54" s="71"/>
      <c r="CQ54" s="71"/>
      <c r="CR54" s="71"/>
      <c r="CS54" s="71"/>
      <c r="CT54" s="71"/>
      <c r="CU54" s="71"/>
      <c r="CV54" s="71"/>
      <c r="CW54" s="71"/>
    </row>
    <row r="55" spans="1:101" ht="21" x14ac:dyDescent="0.3">
      <c r="A55" s="235"/>
      <c r="B55" s="235"/>
      <c r="C55" s="235"/>
      <c r="D55" s="249"/>
      <c r="E55" s="235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6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CW55" s="71"/>
    </row>
    <row r="56" spans="1:101" ht="21" x14ac:dyDescent="0.3">
      <c r="A56" s="17"/>
      <c r="B56" s="17"/>
      <c r="C56" s="235"/>
      <c r="D56" s="249"/>
      <c r="E56" s="235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6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</row>
    <row r="57" spans="1:101" ht="21" x14ac:dyDescent="0.3">
      <c r="A57" s="17"/>
      <c r="B57" s="17"/>
      <c r="C57" s="17"/>
      <c r="D57" s="17"/>
      <c r="E57" s="235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6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1"/>
      <c r="CK57" s="71"/>
      <c r="CL57" s="71"/>
      <c r="CM57" s="71"/>
      <c r="CN57" s="71"/>
      <c r="CO57" s="71"/>
      <c r="CP57" s="71"/>
      <c r="CQ57" s="71"/>
      <c r="CR57" s="71"/>
      <c r="CS57" s="71"/>
      <c r="CT57" s="71"/>
      <c r="CU57" s="71"/>
      <c r="CV57" s="71"/>
      <c r="CW57" s="71"/>
    </row>
    <row r="58" spans="1:101" ht="21" x14ac:dyDescent="0.3">
      <c r="A58" s="17"/>
      <c r="B58" s="17"/>
      <c r="C58" s="17"/>
      <c r="D58" s="17"/>
      <c r="E58" s="235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6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</row>
    <row r="59" spans="1:101" ht="21" x14ac:dyDescent="0.3">
      <c r="A59" s="17"/>
      <c r="B59" s="17"/>
      <c r="C59" s="17"/>
      <c r="D59" s="17"/>
      <c r="E59" s="235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6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1"/>
      <c r="CD59" s="71"/>
      <c r="CE59" s="71"/>
      <c r="CF59" s="71"/>
      <c r="CG59" s="71"/>
      <c r="CH59" s="71"/>
      <c r="CI59" s="71"/>
      <c r="CJ59" s="71"/>
      <c r="CK59" s="71"/>
      <c r="CL59" s="71"/>
      <c r="CM59" s="71"/>
      <c r="CN59" s="71"/>
      <c r="CO59" s="71"/>
      <c r="CP59" s="71"/>
      <c r="CQ59" s="71"/>
      <c r="CR59" s="71"/>
      <c r="CS59" s="71"/>
      <c r="CT59" s="71"/>
      <c r="CU59" s="71"/>
      <c r="CV59" s="71"/>
      <c r="CW59" s="71"/>
    </row>
    <row r="60" spans="1:101" ht="21" x14ac:dyDescent="0.3">
      <c r="A60" s="17"/>
      <c r="B60" s="17"/>
      <c r="C60" s="17"/>
      <c r="D60" s="17"/>
      <c r="E60" s="235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6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1"/>
      <c r="CK60" s="71"/>
      <c r="CL60" s="71"/>
      <c r="CM60" s="71"/>
      <c r="CN60" s="71"/>
      <c r="CO60" s="71"/>
      <c r="CP60" s="71"/>
      <c r="CQ60" s="71"/>
      <c r="CR60" s="71"/>
      <c r="CS60" s="71"/>
      <c r="CT60" s="71"/>
      <c r="CU60" s="71"/>
      <c r="CV60" s="71"/>
      <c r="CW60" s="71"/>
    </row>
    <row r="61" spans="1:101" ht="21" x14ac:dyDescent="0.3">
      <c r="A61" s="17"/>
      <c r="B61" s="17"/>
      <c r="C61" s="17"/>
      <c r="D61" s="17"/>
      <c r="E61" s="235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6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71"/>
      <c r="BY61" s="71"/>
      <c r="BZ61" s="71"/>
      <c r="CA61" s="71"/>
      <c r="CB61" s="71"/>
      <c r="CC61" s="71"/>
      <c r="CD61" s="71"/>
      <c r="CE61" s="71"/>
      <c r="CF61" s="71"/>
      <c r="CG61" s="71"/>
      <c r="CH61" s="71"/>
      <c r="CI61" s="71"/>
      <c r="CJ61" s="71"/>
      <c r="CK61" s="71"/>
      <c r="CL61" s="71"/>
      <c r="CM61" s="71"/>
      <c r="CN61" s="71"/>
      <c r="CO61" s="71"/>
      <c r="CP61" s="71"/>
      <c r="CQ61" s="71"/>
      <c r="CR61" s="71"/>
      <c r="CS61" s="71"/>
      <c r="CT61" s="71"/>
      <c r="CU61" s="71"/>
      <c r="CV61" s="71"/>
      <c r="CW61" s="71"/>
    </row>
    <row r="62" spans="1:101" ht="21" x14ac:dyDescent="0.3">
      <c r="A62" s="17"/>
      <c r="B62" s="17"/>
      <c r="C62" s="17"/>
      <c r="D62" s="17"/>
      <c r="E62" s="235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6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  <c r="BV62" s="71"/>
      <c r="BW62" s="71"/>
      <c r="BX62" s="71"/>
      <c r="BY62" s="71"/>
      <c r="BZ62" s="71"/>
      <c r="CA62" s="71"/>
      <c r="CB62" s="71"/>
      <c r="CC62" s="71"/>
      <c r="CD62" s="71"/>
      <c r="CE62" s="71"/>
      <c r="CF62" s="71"/>
      <c r="CG62" s="71"/>
      <c r="CH62" s="71"/>
      <c r="CI62" s="71"/>
      <c r="CJ62" s="71"/>
      <c r="CK62" s="71"/>
      <c r="CL62" s="71"/>
      <c r="CM62" s="71"/>
      <c r="CN62" s="71"/>
      <c r="CO62" s="71"/>
      <c r="CP62" s="71"/>
      <c r="CQ62" s="71"/>
      <c r="CR62" s="71"/>
      <c r="CS62" s="71"/>
      <c r="CT62" s="71"/>
      <c r="CU62" s="71"/>
      <c r="CV62" s="71"/>
      <c r="CW62" s="71"/>
    </row>
    <row r="63" spans="1:101" ht="21" x14ac:dyDescent="0.3">
      <c r="A63" s="17"/>
      <c r="B63" s="17"/>
      <c r="C63" s="17"/>
      <c r="D63" s="17"/>
      <c r="E63" s="17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4"/>
      <c r="AB63" s="184"/>
      <c r="AC63" s="184"/>
      <c r="AD63" s="184"/>
      <c r="AE63" s="184"/>
      <c r="AF63" s="184"/>
      <c r="AG63" s="184"/>
      <c r="AH63" s="184"/>
      <c r="AI63" s="184"/>
      <c r="AJ63" s="184"/>
      <c r="AK63" s="184"/>
      <c r="AL63" s="184"/>
      <c r="AM63" s="184"/>
      <c r="AN63" s="184"/>
      <c r="AO63" s="184"/>
      <c r="AP63" s="184"/>
      <c r="AQ63" s="184"/>
      <c r="AR63" s="184"/>
      <c r="AS63" s="184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1"/>
      <c r="CD63" s="71"/>
      <c r="CE63" s="71"/>
      <c r="CF63" s="71"/>
      <c r="CG63" s="71"/>
      <c r="CH63" s="71"/>
      <c r="CI63" s="71"/>
      <c r="CJ63" s="71"/>
      <c r="CK63" s="71"/>
      <c r="CL63" s="71"/>
      <c r="CM63" s="71"/>
      <c r="CN63" s="71"/>
      <c r="CO63" s="71"/>
      <c r="CP63" s="71"/>
      <c r="CQ63" s="71"/>
      <c r="CR63" s="71"/>
      <c r="CS63" s="71"/>
      <c r="CT63" s="71"/>
      <c r="CU63" s="71"/>
      <c r="CV63" s="71"/>
      <c r="CW63" s="71"/>
    </row>
    <row r="64" spans="1:101" ht="21" x14ac:dyDescent="0.3">
      <c r="A64" s="17"/>
      <c r="B64" s="17"/>
      <c r="C64" s="17"/>
      <c r="D64" s="17"/>
      <c r="E64" s="17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  <c r="BO64" s="71"/>
      <c r="BP64" s="71"/>
      <c r="BQ64" s="71"/>
      <c r="BR64" s="71"/>
      <c r="BS64" s="71"/>
      <c r="BT64" s="71"/>
      <c r="BU64" s="71"/>
      <c r="BV64" s="71"/>
      <c r="BW64" s="71"/>
      <c r="BX64" s="71"/>
      <c r="BY64" s="71"/>
      <c r="BZ64" s="71"/>
      <c r="CA64" s="71"/>
      <c r="CB64" s="71"/>
      <c r="CC64" s="71"/>
      <c r="CD64" s="71"/>
      <c r="CE64" s="71"/>
      <c r="CF64" s="71"/>
      <c r="CG64" s="71"/>
      <c r="CH64" s="71"/>
      <c r="CI64" s="71"/>
      <c r="CJ64" s="71"/>
      <c r="CK64" s="71"/>
      <c r="CL64" s="71"/>
      <c r="CM64" s="71"/>
      <c r="CN64" s="71"/>
      <c r="CO64" s="71"/>
      <c r="CP64" s="71"/>
      <c r="CQ64" s="71"/>
      <c r="CR64" s="71"/>
      <c r="CS64" s="71"/>
      <c r="CT64" s="71"/>
      <c r="CU64" s="71"/>
      <c r="CV64" s="71"/>
      <c r="CW64" s="71"/>
    </row>
    <row r="65" spans="1:101" ht="21" x14ac:dyDescent="0.3">
      <c r="A65" s="17"/>
      <c r="B65" s="17"/>
      <c r="C65" s="17"/>
      <c r="D65" s="17"/>
      <c r="E65" s="17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  <c r="BV65" s="71"/>
      <c r="BW65" s="71"/>
      <c r="BX65" s="71"/>
      <c r="BY65" s="71"/>
      <c r="BZ65" s="71"/>
      <c r="CA65" s="71"/>
      <c r="CB65" s="71"/>
      <c r="CC65" s="71"/>
      <c r="CD65" s="71"/>
      <c r="CE65" s="71"/>
      <c r="CF65" s="71"/>
      <c r="CG65" s="71"/>
      <c r="CH65" s="71"/>
      <c r="CI65" s="71"/>
      <c r="CJ65" s="71"/>
      <c r="CK65" s="71"/>
      <c r="CL65" s="71"/>
      <c r="CM65" s="71"/>
      <c r="CN65" s="71"/>
      <c r="CO65" s="71"/>
      <c r="CP65" s="71"/>
      <c r="CQ65" s="71"/>
      <c r="CR65" s="71"/>
      <c r="CS65" s="71"/>
      <c r="CT65" s="71"/>
      <c r="CU65" s="71"/>
      <c r="CV65" s="71"/>
      <c r="CW65" s="71"/>
    </row>
    <row r="66" spans="1:101" ht="21" x14ac:dyDescent="0.3">
      <c r="A66" s="17"/>
      <c r="B66" s="17"/>
      <c r="C66" s="17"/>
      <c r="D66" s="17"/>
      <c r="E66" s="17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  <c r="BO66" s="71"/>
      <c r="BP66" s="71"/>
      <c r="BQ66" s="71"/>
      <c r="BR66" s="71"/>
      <c r="BS66" s="71"/>
      <c r="BT66" s="71"/>
      <c r="BU66" s="71"/>
      <c r="BV66" s="71"/>
      <c r="BW66" s="71"/>
      <c r="BX66" s="71"/>
      <c r="BY66" s="71"/>
      <c r="BZ66" s="71"/>
      <c r="CA66" s="71"/>
      <c r="CB66" s="71"/>
      <c r="CC66" s="71"/>
      <c r="CD66" s="71"/>
      <c r="CE66" s="71"/>
      <c r="CF66" s="71"/>
      <c r="CG66" s="71"/>
      <c r="CH66" s="71"/>
      <c r="CI66" s="71"/>
      <c r="CJ66" s="71"/>
      <c r="CK66" s="71"/>
      <c r="CL66" s="71"/>
      <c r="CM66" s="71"/>
      <c r="CN66" s="71"/>
      <c r="CO66" s="71"/>
      <c r="CP66" s="71"/>
      <c r="CQ66" s="71"/>
      <c r="CR66" s="71"/>
      <c r="CS66" s="71"/>
      <c r="CT66" s="71"/>
      <c r="CU66" s="71"/>
      <c r="CV66" s="71"/>
      <c r="CW66" s="71"/>
    </row>
    <row r="67" spans="1:101" ht="21" x14ac:dyDescent="0.3">
      <c r="A67" s="17"/>
      <c r="B67" s="17"/>
      <c r="C67" s="17"/>
      <c r="D67" s="17"/>
      <c r="E67" s="17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  <c r="BV67" s="71"/>
      <c r="BW67" s="71"/>
      <c r="BX67" s="71"/>
      <c r="BY67" s="71"/>
      <c r="BZ67" s="71"/>
      <c r="CA67" s="71"/>
      <c r="CB67" s="71"/>
      <c r="CC67" s="71"/>
      <c r="CD67" s="71"/>
      <c r="CE67" s="71"/>
      <c r="CF67" s="71"/>
      <c r="CG67" s="71"/>
      <c r="CH67" s="71"/>
      <c r="CI67" s="71"/>
      <c r="CJ67" s="71"/>
      <c r="CK67" s="71"/>
      <c r="CL67" s="71"/>
      <c r="CM67" s="71"/>
      <c r="CN67" s="71"/>
      <c r="CO67" s="71"/>
      <c r="CP67" s="71"/>
      <c r="CQ67" s="71"/>
      <c r="CR67" s="71"/>
      <c r="CS67" s="71"/>
      <c r="CT67" s="71"/>
      <c r="CU67" s="71"/>
      <c r="CV67" s="71"/>
      <c r="CW67" s="71"/>
    </row>
    <row r="68" spans="1:101" ht="21" x14ac:dyDescent="0.3">
      <c r="A68" s="17"/>
      <c r="B68" s="17"/>
      <c r="C68" s="17"/>
      <c r="D68" s="17"/>
      <c r="E68" s="17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  <c r="BO68" s="71"/>
      <c r="BP68" s="71"/>
      <c r="BQ68" s="71"/>
      <c r="BR68" s="71"/>
      <c r="BS68" s="71"/>
      <c r="BT68" s="71"/>
      <c r="BU68" s="71"/>
      <c r="BV68" s="71"/>
      <c r="BW68" s="71"/>
      <c r="BX68" s="71"/>
      <c r="BY68" s="71"/>
      <c r="BZ68" s="71"/>
      <c r="CA68" s="71"/>
      <c r="CB68" s="71"/>
      <c r="CC68" s="71"/>
      <c r="CD68" s="71"/>
      <c r="CE68" s="71"/>
      <c r="CF68" s="71"/>
      <c r="CG68" s="71"/>
      <c r="CH68" s="71"/>
      <c r="CI68" s="71"/>
      <c r="CJ68" s="71"/>
      <c r="CK68" s="71"/>
      <c r="CL68" s="71"/>
      <c r="CM68" s="71"/>
      <c r="CN68" s="71"/>
      <c r="CO68" s="71"/>
      <c r="CP68" s="71"/>
      <c r="CQ68" s="71"/>
      <c r="CR68" s="71"/>
      <c r="CS68" s="71"/>
      <c r="CT68" s="71"/>
      <c r="CU68" s="71"/>
      <c r="CV68" s="71"/>
      <c r="CW68" s="71"/>
    </row>
    <row r="69" spans="1:101" ht="21" x14ac:dyDescent="0.3">
      <c r="A69" s="17"/>
      <c r="B69" s="17"/>
      <c r="C69" s="17"/>
      <c r="D69" s="17"/>
      <c r="E69" s="17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  <c r="BO69" s="71"/>
      <c r="BP69" s="71"/>
      <c r="BQ69" s="71"/>
      <c r="BR69" s="71"/>
      <c r="BS69" s="71"/>
      <c r="BT69" s="71"/>
      <c r="BU69" s="71"/>
      <c r="BV69" s="71"/>
      <c r="BW69" s="71"/>
      <c r="BX69" s="71"/>
      <c r="BY69" s="71"/>
      <c r="BZ69" s="71"/>
      <c r="CA69" s="71"/>
      <c r="CB69" s="71"/>
      <c r="CC69" s="71"/>
      <c r="CD69" s="71"/>
      <c r="CE69" s="71"/>
      <c r="CF69" s="71"/>
      <c r="CG69" s="71"/>
      <c r="CH69" s="71"/>
      <c r="CI69" s="71"/>
      <c r="CJ69" s="71"/>
      <c r="CK69" s="71"/>
      <c r="CL69" s="71"/>
      <c r="CM69" s="71"/>
      <c r="CN69" s="71"/>
      <c r="CO69" s="71"/>
      <c r="CP69" s="71"/>
      <c r="CQ69" s="71"/>
      <c r="CR69" s="71"/>
      <c r="CS69" s="71"/>
      <c r="CT69" s="71"/>
      <c r="CU69" s="71"/>
      <c r="CV69" s="71"/>
      <c r="CW69" s="71"/>
    </row>
    <row r="70" spans="1:101" ht="21" x14ac:dyDescent="0.3">
      <c r="A70" s="17"/>
      <c r="B70" s="17"/>
      <c r="C70" s="17"/>
      <c r="D70" s="17"/>
      <c r="E70" s="17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  <c r="BO70" s="71"/>
      <c r="BP70" s="71"/>
      <c r="BQ70" s="71"/>
      <c r="BR70" s="71"/>
      <c r="BS70" s="71"/>
      <c r="BT70" s="71"/>
      <c r="BU70" s="71"/>
      <c r="BV70" s="71"/>
      <c r="BW70" s="71"/>
      <c r="BX70" s="71"/>
      <c r="BY70" s="71"/>
      <c r="BZ70" s="71"/>
      <c r="CA70" s="71"/>
      <c r="CB70" s="71"/>
      <c r="CC70" s="71"/>
      <c r="CD70" s="71"/>
      <c r="CE70" s="71"/>
      <c r="CF70" s="71"/>
      <c r="CG70" s="71"/>
      <c r="CH70" s="71"/>
      <c r="CI70" s="71"/>
      <c r="CJ70" s="71"/>
      <c r="CK70" s="71"/>
      <c r="CL70" s="71"/>
      <c r="CM70" s="71"/>
      <c r="CN70" s="71"/>
      <c r="CO70" s="71"/>
      <c r="CP70" s="71"/>
      <c r="CQ70" s="71"/>
      <c r="CR70" s="71"/>
      <c r="CS70" s="71"/>
      <c r="CT70" s="71"/>
      <c r="CU70" s="71"/>
      <c r="CV70" s="71"/>
      <c r="CW70" s="71"/>
    </row>
    <row r="71" spans="1:101" ht="21" x14ac:dyDescent="0.3">
      <c r="A71" s="17"/>
      <c r="B71" s="17"/>
      <c r="C71" s="17"/>
      <c r="D71" s="17"/>
      <c r="E71" s="17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  <c r="BO71" s="71"/>
      <c r="BP71" s="71"/>
      <c r="BQ71" s="71"/>
      <c r="BR71" s="71"/>
      <c r="BS71" s="71"/>
      <c r="BT71" s="71"/>
      <c r="BU71" s="71"/>
      <c r="BV71" s="71"/>
      <c r="BW71" s="71"/>
      <c r="BX71" s="71"/>
      <c r="BY71" s="71"/>
      <c r="BZ71" s="71"/>
      <c r="CA71" s="71"/>
      <c r="CB71" s="71"/>
      <c r="CC71" s="71"/>
      <c r="CD71" s="71"/>
      <c r="CE71" s="71"/>
      <c r="CF71" s="71"/>
      <c r="CG71" s="71"/>
      <c r="CH71" s="71"/>
      <c r="CI71" s="71"/>
      <c r="CJ71" s="71"/>
      <c r="CK71" s="71"/>
      <c r="CL71" s="71"/>
      <c r="CM71" s="71"/>
      <c r="CN71" s="71"/>
      <c r="CO71" s="71"/>
      <c r="CP71" s="71"/>
      <c r="CQ71" s="71"/>
      <c r="CR71" s="71"/>
      <c r="CS71" s="71"/>
      <c r="CT71" s="71"/>
      <c r="CU71" s="71"/>
      <c r="CV71" s="71"/>
      <c r="CW71" s="71"/>
    </row>
    <row r="72" spans="1:101" ht="21" x14ac:dyDescent="0.3">
      <c r="A72" s="17"/>
      <c r="B72" s="17"/>
      <c r="C72" s="17"/>
      <c r="D72" s="17"/>
      <c r="E72" s="17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  <c r="BO72" s="71"/>
      <c r="BP72" s="71"/>
      <c r="BQ72" s="71"/>
      <c r="BR72" s="71"/>
      <c r="BS72" s="71"/>
      <c r="BT72" s="71"/>
      <c r="BU72" s="71"/>
      <c r="BV72" s="71"/>
      <c r="BW72" s="71"/>
      <c r="BX72" s="71"/>
      <c r="BY72" s="71"/>
      <c r="BZ72" s="71"/>
      <c r="CA72" s="71"/>
      <c r="CB72" s="71"/>
      <c r="CC72" s="71"/>
      <c r="CD72" s="71"/>
      <c r="CE72" s="71"/>
      <c r="CF72" s="71"/>
      <c r="CG72" s="71"/>
      <c r="CH72" s="71"/>
      <c r="CI72" s="71"/>
      <c r="CJ72" s="71"/>
      <c r="CK72" s="71"/>
      <c r="CL72" s="71"/>
      <c r="CM72" s="71"/>
      <c r="CN72" s="71"/>
      <c r="CO72" s="71"/>
      <c r="CP72" s="71"/>
      <c r="CQ72" s="71"/>
      <c r="CR72" s="71"/>
      <c r="CS72" s="71"/>
      <c r="CT72" s="71"/>
      <c r="CU72" s="71"/>
      <c r="CV72" s="71"/>
      <c r="CW72" s="71"/>
    </row>
    <row r="73" spans="1:101" ht="21" x14ac:dyDescent="0.3">
      <c r="A73" s="17"/>
      <c r="B73" s="17"/>
      <c r="C73" s="17"/>
      <c r="D73" s="17"/>
      <c r="E73" s="17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  <c r="BO73" s="71"/>
      <c r="BP73" s="71"/>
      <c r="BQ73" s="71"/>
      <c r="BR73" s="71"/>
      <c r="BS73" s="71"/>
      <c r="BT73" s="71"/>
      <c r="BU73" s="71"/>
      <c r="BV73" s="71"/>
      <c r="BW73" s="71"/>
      <c r="BX73" s="71"/>
      <c r="BY73" s="71"/>
      <c r="BZ73" s="71"/>
      <c r="CA73" s="71"/>
      <c r="CB73" s="71"/>
      <c r="CC73" s="71"/>
      <c r="CD73" s="71"/>
      <c r="CE73" s="71"/>
      <c r="CF73" s="71"/>
      <c r="CG73" s="71"/>
      <c r="CH73" s="71"/>
      <c r="CI73" s="71"/>
      <c r="CJ73" s="71"/>
      <c r="CK73" s="71"/>
      <c r="CL73" s="71"/>
      <c r="CM73" s="71"/>
      <c r="CN73" s="71"/>
      <c r="CO73" s="71"/>
      <c r="CP73" s="71"/>
      <c r="CQ73" s="71"/>
      <c r="CR73" s="71"/>
      <c r="CS73" s="71"/>
      <c r="CT73" s="71"/>
      <c r="CU73" s="71"/>
      <c r="CV73" s="71"/>
      <c r="CW73" s="71"/>
    </row>
    <row r="74" spans="1:101" ht="21" x14ac:dyDescent="0.3">
      <c r="A74" s="17"/>
      <c r="B74" s="17"/>
      <c r="C74" s="17"/>
      <c r="D74" s="17"/>
      <c r="E74" s="17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  <c r="BV74" s="71"/>
      <c r="BW74" s="71"/>
      <c r="BX74" s="71"/>
      <c r="BY74" s="71"/>
      <c r="BZ74" s="71"/>
      <c r="CA74" s="71"/>
      <c r="CB74" s="71"/>
      <c r="CC74" s="71"/>
      <c r="CD74" s="71"/>
      <c r="CE74" s="71"/>
      <c r="CF74" s="71"/>
      <c r="CG74" s="71"/>
      <c r="CH74" s="71"/>
      <c r="CI74" s="71"/>
      <c r="CJ74" s="71"/>
      <c r="CK74" s="71"/>
      <c r="CL74" s="71"/>
      <c r="CM74" s="71"/>
      <c r="CN74" s="71"/>
      <c r="CO74" s="71"/>
      <c r="CP74" s="71"/>
      <c r="CQ74" s="71"/>
      <c r="CR74" s="71"/>
      <c r="CS74" s="71"/>
      <c r="CT74" s="71"/>
      <c r="CU74" s="71"/>
      <c r="CV74" s="71"/>
      <c r="CW74" s="71"/>
    </row>
    <row r="75" spans="1:101" ht="21" x14ac:dyDescent="0.3">
      <c r="A75" s="17"/>
      <c r="B75" s="17"/>
      <c r="C75" s="17"/>
      <c r="D75" s="17"/>
      <c r="E75" s="17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1"/>
      <c r="BT75" s="71"/>
      <c r="BU75" s="71"/>
      <c r="BV75" s="71"/>
      <c r="BW75" s="71"/>
      <c r="BX75" s="71"/>
      <c r="BY75" s="71"/>
      <c r="BZ75" s="71"/>
      <c r="CA75" s="71"/>
      <c r="CB75" s="71"/>
      <c r="CC75" s="71"/>
      <c r="CD75" s="71"/>
      <c r="CE75" s="71"/>
      <c r="CF75" s="71"/>
      <c r="CG75" s="71"/>
      <c r="CH75" s="71"/>
      <c r="CI75" s="71"/>
      <c r="CJ75" s="71"/>
      <c r="CK75" s="71"/>
      <c r="CL75" s="71"/>
      <c r="CM75" s="71"/>
      <c r="CN75" s="71"/>
      <c r="CO75" s="71"/>
      <c r="CP75" s="71"/>
      <c r="CQ75" s="71"/>
      <c r="CR75" s="71"/>
      <c r="CS75" s="71"/>
      <c r="CT75" s="71"/>
      <c r="CU75" s="71"/>
      <c r="CV75" s="71"/>
      <c r="CW75" s="71"/>
    </row>
    <row r="76" spans="1:101" ht="21" x14ac:dyDescent="0.3">
      <c r="A76" s="17"/>
      <c r="B76" s="17"/>
      <c r="C76" s="17"/>
      <c r="D76" s="17"/>
      <c r="E76" s="17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  <c r="BO76" s="71"/>
      <c r="BP76" s="71"/>
      <c r="BQ76" s="71"/>
      <c r="BR76" s="71"/>
      <c r="BS76" s="71"/>
      <c r="BT76" s="71"/>
      <c r="BU76" s="71"/>
      <c r="BV76" s="71"/>
      <c r="BW76" s="71"/>
      <c r="BX76" s="71"/>
      <c r="BY76" s="71"/>
      <c r="BZ76" s="71"/>
      <c r="CA76" s="71"/>
      <c r="CB76" s="71"/>
      <c r="CC76" s="71"/>
      <c r="CD76" s="71"/>
      <c r="CE76" s="71"/>
      <c r="CF76" s="71"/>
      <c r="CG76" s="71"/>
      <c r="CH76" s="71"/>
      <c r="CI76" s="71"/>
      <c r="CJ76" s="71"/>
      <c r="CK76" s="71"/>
      <c r="CL76" s="71"/>
      <c r="CM76" s="71"/>
      <c r="CN76" s="71"/>
      <c r="CO76" s="71"/>
      <c r="CP76" s="71"/>
      <c r="CQ76" s="71"/>
      <c r="CR76" s="71"/>
      <c r="CS76" s="71"/>
      <c r="CT76" s="71"/>
      <c r="CU76" s="71"/>
      <c r="CV76" s="71"/>
      <c r="CW76" s="71"/>
    </row>
    <row r="77" spans="1:101" ht="21" x14ac:dyDescent="0.3">
      <c r="A77" s="17"/>
      <c r="B77" s="17"/>
      <c r="C77" s="17"/>
      <c r="D77" s="17"/>
      <c r="E77" s="17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  <c r="BV77" s="71"/>
      <c r="BW77" s="71"/>
      <c r="BX77" s="71"/>
      <c r="BY77" s="71"/>
      <c r="BZ77" s="71"/>
      <c r="CA77" s="71"/>
      <c r="CB77" s="71"/>
      <c r="CC77" s="71"/>
      <c r="CD77" s="71"/>
      <c r="CE77" s="71"/>
      <c r="CF77" s="71"/>
      <c r="CG77" s="71"/>
      <c r="CH77" s="71"/>
      <c r="CI77" s="71"/>
      <c r="CJ77" s="71"/>
      <c r="CK77" s="71"/>
      <c r="CL77" s="71"/>
      <c r="CM77" s="71"/>
      <c r="CN77" s="71"/>
      <c r="CO77" s="71"/>
      <c r="CP77" s="71"/>
      <c r="CQ77" s="71"/>
      <c r="CR77" s="71"/>
      <c r="CS77" s="71"/>
      <c r="CT77" s="71"/>
      <c r="CU77" s="71"/>
      <c r="CV77" s="71"/>
      <c r="CW77" s="71"/>
    </row>
    <row r="78" spans="1:101" ht="21" x14ac:dyDescent="0.3">
      <c r="A78" s="17"/>
      <c r="B78" s="17"/>
      <c r="C78" s="17"/>
      <c r="D78" s="17"/>
      <c r="E78" s="17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  <c r="BZ78" s="71"/>
      <c r="CA78" s="71"/>
      <c r="CB78" s="71"/>
      <c r="CC78" s="71"/>
      <c r="CD78" s="71"/>
      <c r="CE78" s="71"/>
      <c r="CF78" s="71"/>
      <c r="CG78" s="71"/>
      <c r="CH78" s="71"/>
      <c r="CI78" s="71"/>
      <c r="CJ78" s="71"/>
      <c r="CK78" s="71"/>
      <c r="CL78" s="71"/>
      <c r="CM78" s="71"/>
      <c r="CN78" s="71"/>
      <c r="CO78" s="71"/>
      <c r="CP78" s="71"/>
      <c r="CQ78" s="71"/>
      <c r="CR78" s="71"/>
      <c r="CS78" s="71"/>
      <c r="CT78" s="71"/>
      <c r="CU78" s="71"/>
      <c r="CV78" s="71"/>
      <c r="CW78" s="71"/>
    </row>
    <row r="79" spans="1:101" ht="21" x14ac:dyDescent="0.3">
      <c r="A79" s="17"/>
      <c r="B79" s="17"/>
      <c r="C79" s="17"/>
      <c r="D79" s="17"/>
      <c r="E79" s="17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  <c r="BV79" s="71"/>
      <c r="BW79" s="71"/>
      <c r="BX79" s="71"/>
      <c r="BY79" s="71"/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  <c r="CK79" s="71"/>
      <c r="CL79" s="71"/>
      <c r="CM79" s="71"/>
      <c r="CN79" s="71"/>
      <c r="CO79" s="71"/>
      <c r="CP79" s="71"/>
      <c r="CQ79" s="71"/>
      <c r="CR79" s="71"/>
      <c r="CS79" s="71"/>
      <c r="CT79" s="71"/>
      <c r="CU79" s="71"/>
      <c r="CV79" s="71"/>
      <c r="CW79" s="71"/>
    </row>
    <row r="80" spans="1:101" ht="21" x14ac:dyDescent="0.3">
      <c r="A80" s="17"/>
      <c r="B80" s="17"/>
      <c r="C80" s="17"/>
      <c r="D80" s="17"/>
      <c r="E80" s="17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  <c r="BV80" s="71"/>
      <c r="BW80" s="71"/>
      <c r="BX80" s="71"/>
      <c r="BY80" s="71"/>
      <c r="BZ80" s="71"/>
      <c r="CA80" s="71"/>
      <c r="CB80" s="71"/>
      <c r="CC80" s="71"/>
      <c r="CD80" s="71"/>
      <c r="CE80" s="71"/>
      <c r="CF80" s="71"/>
      <c r="CG80" s="71"/>
      <c r="CH80" s="71"/>
      <c r="CI80" s="71"/>
      <c r="CJ80" s="71"/>
      <c r="CK80" s="71"/>
      <c r="CL80" s="71"/>
      <c r="CM80" s="71"/>
      <c r="CN80" s="71"/>
      <c r="CO80" s="71"/>
      <c r="CP80" s="71"/>
      <c r="CQ80" s="71"/>
      <c r="CR80" s="71"/>
      <c r="CS80" s="71"/>
      <c r="CT80" s="71"/>
      <c r="CU80" s="71"/>
      <c r="CV80" s="71"/>
      <c r="CW80" s="71"/>
    </row>
    <row r="81" spans="1:101" ht="21" x14ac:dyDescent="0.3">
      <c r="A81" s="17"/>
      <c r="B81" s="17"/>
      <c r="C81" s="17"/>
      <c r="D81" s="17"/>
      <c r="E81" s="17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  <c r="BO81" s="71"/>
      <c r="BP81" s="71"/>
      <c r="BQ81" s="71"/>
      <c r="BR81" s="71"/>
      <c r="BS81" s="71"/>
      <c r="BT81" s="71"/>
      <c r="BU81" s="71"/>
      <c r="BV81" s="71"/>
      <c r="BW81" s="71"/>
      <c r="BX81" s="71"/>
      <c r="BY81" s="71"/>
      <c r="BZ81" s="71"/>
      <c r="CA81" s="71"/>
      <c r="CB81" s="71"/>
      <c r="CC81" s="71"/>
      <c r="CD81" s="71"/>
      <c r="CE81" s="71"/>
      <c r="CF81" s="71"/>
      <c r="CG81" s="71"/>
      <c r="CH81" s="71"/>
      <c r="CI81" s="71"/>
      <c r="CJ81" s="71"/>
      <c r="CK81" s="71"/>
      <c r="CL81" s="71"/>
      <c r="CM81" s="71"/>
      <c r="CN81" s="71"/>
      <c r="CO81" s="71"/>
      <c r="CP81" s="71"/>
      <c r="CQ81" s="71"/>
      <c r="CR81" s="71"/>
      <c r="CS81" s="71"/>
      <c r="CT81" s="71"/>
      <c r="CU81" s="71"/>
      <c r="CV81" s="71"/>
      <c r="CW81" s="71"/>
    </row>
    <row r="82" spans="1:101" ht="21" x14ac:dyDescent="0.3">
      <c r="A82" s="17"/>
      <c r="B82" s="17"/>
      <c r="C82" s="17"/>
      <c r="D82" s="17"/>
      <c r="E82" s="17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  <c r="BV82" s="71"/>
      <c r="BW82" s="71"/>
      <c r="BX82" s="71"/>
      <c r="BY82" s="71"/>
      <c r="BZ82" s="71"/>
      <c r="CA82" s="71"/>
      <c r="CB82" s="71"/>
      <c r="CC82" s="71"/>
      <c r="CD82" s="71"/>
      <c r="CE82" s="71"/>
      <c r="CF82" s="71"/>
      <c r="CG82" s="71"/>
      <c r="CH82" s="71"/>
      <c r="CI82" s="71"/>
      <c r="CJ82" s="71"/>
      <c r="CK82" s="71"/>
      <c r="CL82" s="71"/>
      <c r="CM82" s="71"/>
      <c r="CN82" s="71"/>
      <c r="CO82" s="71"/>
      <c r="CP82" s="71"/>
      <c r="CQ82" s="71"/>
      <c r="CR82" s="71"/>
      <c r="CS82" s="71"/>
      <c r="CT82" s="71"/>
      <c r="CU82" s="71"/>
      <c r="CV82" s="71"/>
      <c r="CW82" s="71"/>
    </row>
    <row r="83" spans="1:101" ht="21" x14ac:dyDescent="0.3">
      <c r="A83" s="17"/>
      <c r="B83" s="17"/>
      <c r="C83" s="17"/>
      <c r="D83" s="17"/>
      <c r="E83" s="17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  <c r="BO83" s="71"/>
      <c r="BP83" s="71"/>
      <c r="BQ83" s="71"/>
      <c r="BR83" s="71"/>
      <c r="BS83" s="71"/>
      <c r="BT83" s="71"/>
      <c r="BU83" s="71"/>
      <c r="BV83" s="71"/>
      <c r="BW83" s="71"/>
      <c r="BX83" s="71"/>
      <c r="BY83" s="71"/>
      <c r="BZ83" s="71"/>
      <c r="CA83" s="71"/>
      <c r="CB83" s="71"/>
      <c r="CC83" s="71"/>
      <c r="CD83" s="71"/>
      <c r="CE83" s="71"/>
      <c r="CF83" s="71"/>
      <c r="CG83" s="71"/>
      <c r="CH83" s="71"/>
      <c r="CI83" s="71"/>
      <c r="CJ83" s="71"/>
      <c r="CK83" s="71"/>
      <c r="CL83" s="71"/>
      <c r="CM83" s="71"/>
      <c r="CN83" s="71"/>
      <c r="CO83" s="71"/>
      <c r="CP83" s="71"/>
      <c r="CQ83" s="71"/>
      <c r="CR83" s="71"/>
      <c r="CS83" s="71"/>
      <c r="CT83" s="71"/>
      <c r="CU83" s="71"/>
      <c r="CV83" s="71"/>
      <c r="CW83" s="71"/>
    </row>
    <row r="84" spans="1:101" ht="21" x14ac:dyDescent="0.3">
      <c r="A84" s="17"/>
      <c r="B84" s="17"/>
      <c r="C84" s="17"/>
      <c r="D84" s="17"/>
      <c r="E84" s="17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  <c r="BV84" s="71"/>
      <c r="BW84" s="71"/>
      <c r="BX84" s="71"/>
      <c r="BY84" s="71"/>
      <c r="BZ84" s="71"/>
      <c r="CA84" s="71"/>
      <c r="CB84" s="71"/>
      <c r="CC84" s="71"/>
      <c r="CD84" s="71"/>
      <c r="CE84" s="71"/>
      <c r="CF84" s="71"/>
      <c r="CG84" s="71"/>
      <c r="CH84" s="71"/>
      <c r="CI84" s="71"/>
      <c r="CJ84" s="71"/>
      <c r="CK84" s="71"/>
      <c r="CL84" s="71"/>
      <c r="CM84" s="71"/>
      <c r="CN84" s="71"/>
      <c r="CO84" s="71"/>
      <c r="CP84" s="71"/>
      <c r="CQ84" s="71"/>
      <c r="CR84" s="71"/>
      <c r="CS84" s="71"/>
      <c r="CT84" s="71"/>
      <c r="CU84" s="71"/>
      <c r="CV84" s="71"/>
      <c r="CW84" s="71"/>
    </row>
    <row r="85" spans="1:101" ht="21" x14ac:dyDescent="0.3">
      <c r="A85" s="17"/>
      <c r="B85" s="17"/>
      <c r="C85" s="17"/>
      <c r="D85" s="17"/>
      <c r="E85" s="17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  <c r="BO85" s="71"/>
      <c r="BP85" s="71"/>
      <c r="BQ85" s="71"/>
      <c r="BR85" s="71"/>
      <c r="BS85" s="71"/>
      <c r="BT85" s="71"/>
      <c r="BU85" s="71"/>
      <c r="BV85" s="71"/>
      <c r="BW85" s="71"/>
      <c r="BX85" s="71"/>
      <c r="BY85" s="71"/>
      <c r="BZ85" s="71"/>
      <c r="CA85" s="71"/>
      <c r="CB85" s="71"/>
      <c r="CC85" s="71"/>
      <c r="CD85" s="71"/>
      <c r="CE85" s="71"/>
      <c r="CF85" s="71"/>
      <c r="CG85" s="71"/>
      <c r="CH85" s="71"/>
      <c r="CI85" s="71"/>
      <c r="CJ85" s="71"/>
      <c r="CK85" s="71"/>
      <c r="CL85" s="71"/>
      <c r="CM85" s="71"/>
      <c r="CN85" s="71"/>
      <c r="CO85" s="71"/>
      <c r="CP85" s="71"/>
      <c r="CQ85" s="71"/>
      <c r="CR85" s="71"/>
      <c r="CS85" s="71"/>
      <c r="CT85" s="71"/>
      <c r="CU85" s="71"/>
      <c r="CV85" s="71"/>
      <c r="CW85" s="71"/>
    </row>
    <row r="86" spans="1:101" ht="21" x14ac:dyDescent="0.3">
      <c r="C86" s="17"/>
      <c r="E86" s="17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1"/>
      <c r="CD86" s="71"/>
      <c r="CE86" s="71"/>
      <c r="CF86" s="71"/>
      <c r="CG86" s="71"/>
      <c r="CH86" s="71"/>
      <c r="CI86" s="71"/>
      <c r="CJ86" s="71"/>
      <c r="CK86" s="71"/>
      <c r="CL86" s="71"/>
      <c r="CM86" s="71"/>
      <c r="CN86" s="71"/>
      <c r="CO86" s="71"/>
      <c r="CP86" s="71"/>
      <c r="CQ86" s="71"/>
      <c r="CR86" s="71"/>
      <c r="CS86" s="71"/>
      <c r="CT86" s="71"/>
      <c r="CU86" s="71"/>
      <c r="CV86" s="71"/>
      <c r="CW86" s="71"/>
    </row>
    <row r="87" spans="1:101" x14ac:dyDescent="0.2"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  <c r="BO87" s="71"/>
      <c r="BP87" s="71"/>
      <c r="BQ87" s="71"/>
      <c r="BR87" s="71"/>
      <c r="BS87" s="71"/>
      <c r="BT87" s="71"/>
      <c r="BU87" s="71"/>
      <c r="BV87" s="71"/>
      <c r="BW87" s="71"/>
      <c r="BX87" s="71"/>
      <c r="BY87" s="71"/>
      <c r="BZ87" s="71"/>
      <c r="CA87" s="71"/>
      <c r="CB87" s="71"/>
      <c r="CC87" s="71"/>
      <c r="CD87" s="71"/>
      <c r="CE87" s="71"/>
      <c r="CF87" s="71"/>
      <c r="CG87" s="71"/>
      <c r="CH87" s="71"/>
      <c r="CI87" s="71"/>
      <c r="CJ87" s="71"/>
      <c r="CK87" s="71"/>
      <c r="CL87" s="71"/>
      <c r="CM87" s="71"/>
      <c r="CN87" s="71"/>
      <c r="CO87" s="71"/>
      <c r="CP87" s="71"/>
      <c r="CQ87" s="71"/>
      <c r="CR87" s="71"/>
      <c r="CS87" s="71"/>
      <c r="CT87" s="71"/>
      <c r="CU87" s="71"/>
      <c r="CV87" s="71"/>
      <c r="CW87" s="71"/>
    </row>
    <row r="88" spans="1:101" x14ac:dyDescent="0.2"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  <c r="BL88" s="71"/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71"/>
      <c r="BZ88" s="71"/>
      <c r="CA88" s="71"/>
      <c r="CB88" s="71"/>
      <c r="CC88" s="71"/>
      <c r="CD88" s="71"/>
      <c r="CE88" s="71"/>
      <c r="CF88" s="71"/>
      <c r="CG88" s="71"/>
      <c r="CH88" s="71"/>
      <c r="CI88" s="71"/>
      <c r="CJ88" s="71"/>
      <c r="CK88" s="71"/>
      <c r="CL88" s="71"/>
      <c r="CM88" s="71"/>
      <c r="CN88" s="71"/>
      <c r="CO88" s="71"/>
      <c r="CP88" s="71"/>
      <c r="CQ88" s="71"/>
      <c r="CR88" s="71"/>
      <c r="CS88" s="71"/>
      <c r="CT88" s="71"/>
      <c r="CU88" s="71"/>
      <c r="CV88" s="71"/>
      <c r="CW88" s="71"/>
    </row>
    <row r="89" spans="1:101" x14ac:dyDescent="0.2"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1"/>
      <c r="CD89" s="71"/>
      <c r="CE89" s="71"/>
      <c r="CF89" s="71"/>
      <c r="CG89" s="71"/>
      <c r="CH89" s="71"/>
      <c r="CI89" s="71"/>
      <c r="CJ89" s="71"/>
      <c r="CK89" s="71"/>
      <c r="CL89" s="71"/>
      <c r="CM89" s="71"/>
      <c r="CN89" s="71"/>
      <c r="CO89" s="71"/>
      <c r="CP89" s="71"/>
      <c r="CQ89" s="71"/>
      <c r="CR89" s="71"/>
      <c r="CS89" s="71"/>
      <c r="CT89" s="71"/>
      <c r="CU89" s="71"/>
      <c r="CV89" s="71"/>
      <c r="CW89" s="71"/>
    </row>
    <row r="90" spans="1:101" x14ac:dyDescent="0.2"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1"/>
      <c r="CD90" s="71"/>
      <c r="CE90" s="71"/>
      <c r="CF90" s="71"/>
      <c r="CG90" s="71"/>
      <c r="CH90" s="71"/>
      <c r="CI90" s="71"/>
      <c r="CJ90" s="71"/>
      <c r="CK90" s="71"/>
      <c r="CL90" s="71"/>
      <c r="CM90" s="71"/>
      <c r="CN90" s="71"/>
      <c r="CO90" s="71"/>
      <c r="CP90" s="71"/>
      <c r="CQ90" s="71"/>
      <c r="CR90" s="71"/>
      <c r="CS90" s="71"/>
      <c r="CT90" s="71"/>
      <c r="CU90" s="71"/>
      <c r="CV90" s="71"/>
      <c r="CW90" s="71"/>
    </row>
    <row r="91" spans="1:101" x14ac:dyDescent="0.2"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71"/>
      <c r="BZ91" s="71"/>
      <c r="CA91" s="71"/>
      <c r="CB91" s="71"/>
      <c r="CC91" s="71"/>
      <c r="CD91" s="71"/>
      <c r="CE91" s="71"/>
      <c r="CF91" s="71"/>
      <c r="CG91" s="71"/>
      <c r="CH91" s="71"/>
      <c r="CI91" s="71"/>
      <c r="CJ91" s="71"/>
      <c r="CK91" s="71"/>
      <c r="CL91" s="71"/>
      <c r="CM91" s="71"/>
      <c r="CN91" s="71"/>
      <c r="CO91" s="71"/>
      <c r="CP91" s="71"/>
      <c r="CQ91" s="71"/>
      <c r="CR91" s="71"/>
      <c r="CS91" s="71"/>
      <c r="CT91" s="71"/>
      <c r="CU91" s="71"/>
      <c r="CV91" s="71"/>
      <c r="CW91" s="71"/>
    </row>
    <row r="92" spans="1:101" x14ac:dyDescent="0.2"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  <c r="BO92" s="71"/>
      <c r="BP92" s="71"/>
      <c r="BQ92" s="71"/>
      <c r="BR92" s="71"/>
      <c r="BS92" s="71"/>
      <c r="BT92" s="71"/>
      <c r="BU92" s="71"/>
      <c r="BV92" s="71"/>
      <c r="BW92" s="71"/>
      <c r="BX92" s="71"/>
      <c r="BY92" s="71"/>
      <c r="BZ92" s="71"/>
      <c r="CA92" s="71"/>
      <c r="CB92" s="71"/>
      <c r="CC92" s="71"/>
      <c r="CD92" s="71"/>
      <c r="CE92" s="71"/>
      <c r="CF92" s="71"/>
      <c r="CG92" s="71"/>
      <c r="CH92" s="71"/>
      <c r="CI92" s="71"/>
      <c r="CJ92" s="71"/>
      <c r="CK92" s="71"/>
      <c r="CL92" s="71"/>
      <c r="CM92" s="71"/>
      <c r="CN92" s="71"/>
      <c r="CO92" s="71"/>
      <c r="CP92" s="71"/>
      <c r="CQ92" s="71"/>
      <c r="CR92" s="71"/>
      <c r="CS92" s="71"/>
      <c r="CT92" s="71"/>
      <c r="CU92" s="71"/>
      <c r="CV92" s="71"/>
      <c r="CW92" s="71"/>
    </row>
    <row r="93" spans="1:101" x14ac:dyDescent="0.2"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  <c r="BO93" s="71"/>
      <c r="BP93" s="71"/>
      <c r="BQ93" s="71"/>
      <c r="BR93" s="71"/>
      <c r="BS93" s="71"/>
      <c r="BT93" s="71"/>
      <c r="BU93" s="71"/>
      <c r="BV93" s="71"/>
      <c r="BW93" s="71"/>
      <c r="BX93" s="71"/>
      <c r="BY93" s="71"/>
      <c r="BZ93" s="71"/>
      <c r="CA93" s="71"/>
      <c r="CB93" s="71"/>
      <c r="CC93" s="71"/>
      <c r="CD93" s="71"/>
      <c r="CE93" s="71"/>
      <c r="CF93" s="71"/>
      <c r="CG93" s="71"/>
      <c r="CH93" s="71"/>
      <c r="CI93" s="71"/>
      <c r="CJ93" s="71"/>
      <c r="CK93" s="71"/>
      <c r="CL93" s="71"/>
      <c r="CM93" s="71"/>
      <c r="CN93" s="71"/>
      <c r="CO93" s="71"/>
      <c r="CP93" s="71"/>
      <c r="CQ93" s="71"/>
      <c r="CR93" s="71"/>
      <c r="CS93" s="71"/>
      <c r="CT93" s="71"/>
      <c r="CU93" s="71"/>
      <c r="CV93" s="71"/>
      <c r="CW93" s="71"/>
    </row>
    <row r="94" spans="1:101" x14ac:dyDescent="0.2"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71"/>
      <c r="BZ94" s="71"/>
      <c r="CA94" s="71"/>
      <c r="CB94" s="71"/>
      <c r="CC94" s="71"/>
      <c r="CD94" s="71"/>
      <c r="CE94" s="71"/>
      <c r="CF94" s="71"/>
      <c r="CG94" s="71"/>
      <c r="CH94" s="71"/>
      <c r="CI94" s="71"/>
      <c r="CJ94" s="71"/>
      <c r="CK94" s="71"/>
      <c r="CL94" s="71"/>
      <c r="CM94" s="71"/>
      <c r="CN94" s="71"/>
      <c r="CO94" s="71"/>
      <c r="CP94" s="71"/>
      <c r="CQ94" s="71"/>
      <c r="CR94" s="71"/>
      <c r="CS94" s="71"/>
      <c r="CT94" s="71"/>
      <c r="CU94" s="71"/>
      <c r="CV94" s="71"/>
      <c r="CW94" s="71"/>
    </row>
    <row r="95" spans="1:101" x14ac:dyDescent="0.2"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71"/>
      <c r="BZ95" s="71"/>
      <c r="CA95" s="71"/>
      <c r="CB95" s="71"/>
      <c r="CC95" s="71"/>
      <c r="CD95" s="71"/>
      <c r="CE95" s="71"/>
      <c r="CF95" s="71"/>
      <c r="CG95" s="71"/>
      <c r="CH95" s="71"/>
      <c r="CI95" s="71"/>
      <c r="CJ95" s="71"/>
      <c r="CK95" s="71"/>
      <c r="CL95" s="71"/>
      <c r="CM95" s="71"/>
      <c r="CN95" s="71"/>
      <c r="CO95" s="71"/>
      <c r="CP95" s="71"/>
      <c r="CQ95" s="71"/>
      <c r="CR95" s="71"/>
      <c r="CS95" s="71"/>
      <c r="CT95" s="71"/>
      <c r="CU95" s="71"/>
      <c r="CV95" s="71"/>
      <c r="CW95" s="71"/>
    </row>
    <row r="96" spans="1:101" x14ac:dyDescent="0.2"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71"/>
      <c r="BZ96" s="71"/>
      <c r="CA96" s="71"/>
      <c r="CB96" s="71"/>
      <c r="CC96" s="71"/>
      <c r="CD96" s="71"/>
      <c r="CE96" s="71"/>
      <c r="CF96" s="71"/>
      <c r="CG96" s="71"/>
      <c r="CH96" s="71"/>
      <c r="CI96" s="71"/>
      <c r="CJ96" s="71"/>
      <c r="CK96" s="71"/>
      <c r="CL96" s="71"/>
      <c r="CM96" s="71"/>
      <c r="CN96" s="71"/>
      <c r="CO96" s="71"/>
      <c r="CP96" s="71"/>
      <c r="CQ96" s="71"/>
      <c r="CR96" s="71"/>
      <c r="CS96" s="71"/>
      <c r="CT96" s="71"/>
      <c r="CU96" s="71"/>
      <c r="CV96" s="71"/>
      <c r="CW96" s="71"/>
    </row>
    <row r="97" spans="10:101" x14ac:dyDescent="0.2"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71"/>
      <c r="BZ97" s="71"/>
      <c r="CA97" s="71"/>
      <c r="CB97" s="71"/>
      <c r="CC97" s="71"/>
      <c r="CD97" s="71"/>
      <c r="CE97" s="71"/>
      <c r="CF97" s="71"/>
      <c r="CG97" s="71"/>
      <c r="CH97" s="71"/>
      <c r="CI97" s="71"/>
      <c r="CJ97" s="71"/>
      <c r="CK97" s="71"/>
      <c r="CL97" s="71"/>
      <c r="CM97" s="71"/>
      <c r="CN97" s="71"/>
      <c r="CO97" s="71"/>
      <c r="CP97" s="71"/>
      <c r="CQ97" s="71"/>
      <c r="CR97" s="71"/>
      <c r="CS97" s="71"/>
      <c r="CT97" s="71"/>
      <c r="CU97" s="71"/>
      <c r="CV97" s="71"/>
      <c r="CW97" s="7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workbookViewId="0">
      <selection activeCell="C42" sqref="C42"/>
    </sheetView>
  </sheetViews>
  <sheetFormatPr defaultColWidth="8.875" defaultRowHeight="15" x14ac:dyDescent="0.2"/>
  <cols>
    <col min="1" max="1" width="84.61328125" customWidth="1"/>
    <col min="2" max="2" width="82.328125" customWidth="1"/>
    <col min="3" max="3" width="37.93359375" customWidth="1"/>
    <col min="4" max="4" width="36.3203125" customWidth="1"/>
    <col min="5" max="5" width="29.45703125" customWidth="1"/>
    <col min="6" max="6" width="32.95703125" customWidth="1"/>
    <col min="7" max="7" width="35.37890625" customWidth="1"/>
    <col min="8" max="8" width="25.15234375" customWidth="1"/>
    <col min="9" max="9" width="30.265625" customWidth="1"/>
  </cols>
  <sheetData>
    <row r="1" spans="1:6" ht="34.5" x14ac:dyDescent="0.5">
      <c r="A1" s="1" t="s">
        <v>16</v>
      </c>
      <c r="B1" s="2">
        <v>87.191999999999993</v>
      </c>
    </row>
    <row r="2" spans="1:6" ht="37.5" x14ac:dyDescent="0.55000000000000004">
      <c r="A2" s="3" t="s">
        <v>17</v>
      </c>
      <c r="B2" s="2">
        <v>87.022999999999996</v>
      </c>
    </row>
    <row r="3" spans="1:6" ht="37.5" x14ac:dyDescent="0.55000000000000004">
      <c r="A3" s="3" t="s">
        <v>18</v>
      </c>
      <c r="B3" s="4">
        <v>87.242999999999995</v>
      </c>
    </row>
    <row r="4" spans="1:6" ht="37.5" x14ac:dyDescent="0.55000000000000004">
      <c r="A4" s="3" t="s">
        <v>19</v>
      </c>
      <c r="B4" s="2">
        <v>86.933000000000007</v>
      </c>
    </row>
    <row r="5" spans="1:6" ht="37.5" x14ac:dyDescent="0.55000000000000004">
      <c r="A5" s="5" t="s">
        <v>20</v>
      </c>
      <c r="B5" s="6">
        <v>9</v>
      </c>
    </row>
    <row r="6" spans="1:6" ht="37.5" x14ac:dyDescent="0.55000000000000004">
      <c r="A6" s="5" t="s">
        <v>21</v>
      </c>
      <c r="B6" s="6">
        <v>1</v>
      </c>
    </row>
    <row r="7" spans="1:6" ht="37.5" x14ac:dyDescent="0.55000000000000004">
      <c r="A7" s="5" t="s">
        <v>22</v>
      </c>
      <c r="B7" s="6">
        <f>(B2-B1)/B5</f>
        <v>-1.8777777777777435E-2</v>
      </c>
    </row>
    <row r="8" spans="1:6" ht="37.5" x14ac:dyDescent="0.55000000000000004">
      <c r="A8" s="5" t="s">
        <v>23</v>
      </c>
      <c r="B8" s="6">
        <f>B3 - B4</f>
        <v>0.30999999999998806</v>
      </c>
    </row>
    <row r="9" spans="1:6" ht="37.5" x14ac:dyDescent="0.55000000000000004">
      <c r="A9" s="5" t="s">
        <v>24</v>
      </c>
      <c r="B9" s="6">
        <f>B8 * (B6 / B5)</f>
        <v>3.4444444444443119E-2</v>
      </c>
    </row>
    <row r="10" spans="1:6" ht="37.5" x14ac:dyDescent="0.55000000000000004">
      <c r="A10" s="5" t="s">
        <v>25</v>
      </c>
      <c r="B10" s="6">
        <f>(B2-B1) * (1 + (B6 / B5))</f>
        <v>-0.18777777777777438</v>
      </c>
    </row>
    <row r="11" spans="1:6" ht="37.5" x14ac:dyDescent="0.55000000000000004">
      <c r="A11" s="5" t="s">
        <v>26</v>
      </c>
      <c r="B11" s="7">
        <f xml:space="preserve"> B2 + (B7 * B8 * B6)</f>
        <v>87.017178888888878</v>
      </c>
    </row>
    <row r="12" spans="1:6" ht="37.5" x14ac:dyDescent="0.55000000000000004">
      <c r="A12" s="5" t="s">
        <v>27</v>
      </c>
      <c r="B12" s="8">
        <f>B2+(B7*B9)</f>
        <v>87.022353209876542</v>
      </c>
    </row>
    <row r="13" spans="1:6" ht="37.5" x14ac:dyDescent="0.55000000000000004">
      <c r="A13" s="9" t="s">
        <v>28</v>
      </c>
      <c r="B13" s="10"/>
    </row>
    <row r="14" spans="1:6" ht="37.5" x14ac:dyDescent="0.55000000000000004">
      <c r="A14" s="11" t="s">
        <v>29</v>
      </c>
      <c r="B14" s="8">
        <f>B2 + ((B2 - B1) / B5) * B6 + (B8 / B5) * B6</f>
        <v>87.038666666666671</v>
      </c>
      <c r="F14" t="e">
        <f ca="1" xml:space="preserve"> IF($B$27 &gt; ($B$25 + $B$26) / 2 + (($B$27 - $B$28) * ($B$25 Success!B39- $B$26) / 100), "Buy", "No Buy")</f>
        <v>#NULL!</v>
      </c>
    </row>
    <row r="15" spans="1:6" ht="37.5" x14ac:dyDescent="0.55000000000000004">
      <c r="A15" s="5" t="s">
        <v>22</v>
      </c>
      <c r="B15" s="6">
        <f>B7</f>
        <v>-1.8777777777777435E-2</v>
      </c>
    </row>
    <row r="16" spans="1:6" ht="37.5" x14ac:dyDescent="0.55000000000000004">
      <c r="A16" s="5" t="s">
        <v>30</v>
      </c>
      <c r="B16" s="6">
        <f>B2</f>
        <v>87.022999999999996</v>
      </c>
    </row>
    <row r="17" spans="1:3" ht="37.5" x14ac:dyDescent="0.55000000000000004">
      <c r="A17" s="5" t="s">
        <v>31</v>
      </c>
      <c r="B17" s="6">
        <f>B2 * 0.008</f>
        <v>0.69618400000000003</v>
      </c>
    </row>
    <row r="18" spans="1:3" ht="37.5" x14ac:dyDescent="0.55000000000000004">
      <c r="A18" s="5" t="s">
        <v>32</v>
      </c>
      <c r="B18" s="12" t="str">
        <f>IF(B14&gt;B2+B16,"Buy","No Buy")</f>
        <v>No Buy</v>
      </c>
    </row>
    <row r="19" spans="1:3" ht="37.5" x14ac:dyDescent="0.55000000000000004">
      <c r="A19" s="5" t="s">
        <v>33</v>
      </c>
      <c r="B19" s="13" t="str">
        <f>IF(B14&lt;B2-B16,"Sell","No Sell")</f>
        <v>No Sell</v>
      </c>
    </row>
    <row r="20" spans="1:3" ht="37.5" x14ac:dyDescent="0.55000000000000004">
      <c r="A20" s="5" t="s">
        <v>34</v>
      </c>
      <c r="B20" s="14">
        <f>ABS(B14-B11)/B11*100</f>
        <v>2.4693719162316604E-2</v>
      </c>
    </row>
    <row r="21" spans="1:3" ht="37.5" x14ac:dyDescent="0.55000000000000004">
      <c r="A21" s="15" t="s">
        <v>6</v>
      </c>
      <c r="B21" s="8">
        <f xml:space="preserve"> B2 + (B15 * B17 * 2) + ((B3 - B4) / 6) * B17</f>
        <v>87.032823929777763</v>
      </c>
    </row>
    <row r="22" spans="1:3" ht="37.5" x14ac:dyDescent="0.55000000000000004">
      <c r="A22" s="5"/>
      <c r="B22" s="18"/>
    </row>
    <row r="23" spans="1:3" ht="37.5" x14ac:dyDescent="0.55000000000000004">
      <c r="A23" s="5"/>
      <c r="B23" s="19"/>
      <c r="C23" s="16"/>
    </row>
    <row r="24" spans="1:3" ht="37.5" x14ac:dyDescent="0.55000000000000004">
      <c r="A24" s="20" t="s">
        <v>35</v>
      </c>
      <c r="B24" s="21"/>
    </row>
    <row r="25" spans="1:3" ht="37.5" x14ac:dyDescent="0.55000000000000004">
      <c r="A25" s="3" t="s">
        <v>36</v>
      </c>
      <c r="B25" s="22">
        <f>B3</f>
        <v>87.242999999999995</v>
      </c>
    </row>
    <row r="26" spans="1:3" ht="37.5" x14ac:dyDescent="0.55000000000000004">
      <c r="A26" s="3" t="s">
        <v>37</v>
      </c>
      <c r="B26" s="21">
        <f>B4</f>
        <v>86.933000000000007</v>
      </c>
    </row>
    <row r="27" spans="1:3" ht="37.5" x14ac:dyDescent="0.55000000000000004">
      <c r="A27" s="3" t="s">
        <v>38</v>
      </c>
      <c r="B27" s="22">
        <f>B2</f>
        <v>87.022999999999996</v>
      </c>
    </row>
    <row r="28" spans="1:3" ht="37.5" x14ac:dyDescent="0.55000000000000004">
      <c r="A28" s="3" t="s">
        <v>39</v>
      </c>
      <c r="B28" s="21">
        <v>87.182000000000002</v>
      </c>
    </row>
    <row r="29" spans="1:3" ht="37.5" x14ac:dyDescent="0.55000000000000004">
      <c r="A29" s="3" t="s">
        <v>40</v>
      </c>
      <c r="B29" s="21">
        <v>87.430999999999997</v>
      </c>
    </row>
    <row r="30" spans="1:3" ht="37.5" x14ac:dyDescent="0.55000000000000004">
      <c r="A30" s="3" t="s">
        <v>41</v>
      </c>
      <c r="B30" s="21">
        <v>87.150999999999996</v>
      </c>
    </row>
    <row r="31" spans="1:3" ht="37.5" x14ac:dyDescent="0.55000000000000004">
      <c r="A31" s="5" t="s">
        <v>42</v>
      </c>
      <c r="B31" s="21">
        <f>B25 - B26 /2</f>
        <v>43.776499999999992</v>
      </c>
    </row>
    <row r="32" spans="1:3" ht="37.5" x14ac:dyDescent="0.55000000000000004">
      <c r="A32" s="5" t="s">
        <v>22</v>
      </c>
      <c r="B32" s="22">
        <f xml:space="preserve"> B27 - B28</f>
        <v>-0.15900000000000603</v>
      </c>
    </row>
    <row r="33" spans="1:3" ht="37.5" x14ac:dyDescent="0.55000000000000004">
      <c r="A33" s="5" t="s">
        <v>23</v>
      </c>
      <c r="B33" s="21">
        <f xml:space="preserve"> B25-B26</f>
        <v>0.30999999999998806</v>
      </c>
    </row>
    <row r="34" spans="1:3" ht="37.5" x14ac:dyDescent="0.55000000000000004">
      <c r="A34" s="3" t="s">
        <v>43</v>
      </c>
      <c r="B34" s="23">
        <f xml:space="preserve"> (B25 + B26) / 2 + ((B27 - B28) * (B25 - B26) / 100)</f>
        <v>87.087507099999996</v>
      </c>
    </row>
    <row r="35" spans="1:3" ht="37.5" x14ac:dyDescent="0.55000000000000004">
      <c r="A35" s="5" t="s">
        <v>44</v>
      </c>
      <c r="B35" s="24" t="str">
        <f xml:space="preserve"> IF(B27 &gt; (B25 + B26) / 2 + ((B27 - B28) * (B25 - B26) / 100), "Buy", "No Buy")</f>
        <v>No Buy</v>
      </c>
      <c r="C35" s="17"/>
    </row>
    <row r="36" spans="1:3" ht="37.5" x14ac:dyDescent="0.55000000000000004">
      <c r="A36" s="5" t="s">
        <v>45</v>
      </c>
      <c r="B36" s="25" t="str">
        <f xml:space="preserve"> IF(B27 &lt; (B25 + B26) / 2 + ((B27 - B28) * (B25 - B26) / 100), "Sell", "No Sell")</f>
        <v>Sell</v>
      </c>
      <c r="C36" s="17"/>
    </row>
    <row r="37" spans="1:3" ht="37.5" x14ac:dyDescent="0.55000000000000004">
      <c r="A37" s="5" t="s">
        <v>46</v>
      </c>
      <c r="B37" s="24" t="str">
        <f>IF(B27 &gt; B34, "Buy", "No Buy")</f>
        <v>No Buy</v>
      </c>
      <c r="C37" s="17"/>
    </row>
    <row r="38" spans="1:3" ht="37.5" x14ac:dyDescent="0.55000000000000004">
      <c r="A38" s="5" t="s">
        <v>47</v>
      </c>
      <c r="B38" s="25" t="str">
        <f>IF(B27 &lt; B34, "Sell", "No Sell")</f>
        <v>Sell</v>
      </c>
      <c r="C38" s="17"/>
    </row>
    <row r="39" spans="1:3" x14ac:dyDescent="0.2">
      <c r="A39" s="19"/>
      <c r="B39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CEF2B-EA85-41E1-809E-E8ED15FB55F0}">
  <dimension ref="A1:AD115"/>
  <sheetViews>
    <sheetView workbookViewId="0">
      <selection activeCell="C13" sqref="C13"/>
    </sheetView>
  </sheetViews>
  <sheetFormatPr defaultColWidth="8.875" defaultRowHeight="15" x14ac:dyDescent="0.2"/>
  <cols>
    <col min="1" max="1" width="98.60546875" customWidth="1"/>
    <col min="2" max="2" width="112.4609375" customWidth="1"/>
    <col min="3" max="3" width="56.765625" customWidth="1"/>
    <col min="4" max="4" width="91.4765625" customWidth="1"/>
    <col min="5" max="5" width="142.86328125" customWidth="1"/>
    <col min="6" max="6" width="156.44921875" customWidth="1"/>
    <col min="7" max="7" width="60.265625" customWidth="1"/>
    <col min="8" max="8" width="53.671875" customWidth="1"/>
    <col min="9" max="9" width="73.1796875" customWidth="1"/>
    <col min="10" max="10" width="43.44921875" customWidth="1"/>
    <col min="11" max="11" width="57.171875" customWidth="1"/>
  </cols>
  <sheetData>
    <row r="1" spans="1:29" ht="72.75" x14ac:dyDescent="1.3">
      <c r="A1" s="88" t="s">
        <v>48</v>
      </c>
      <c r="B1" s="87">
        <v>1.01779</v>
      </c>
      <c r="C1" s="42"/>
      <c r="D1" s="72"/>
      <c r="E1" s="91" t="s">
        <v>35</v>
      </c>
      <c r="F1" s="77" t="s">
        <v>49</v>
      </c>
      <c r="G1" s="76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</row>
    <row r="2" spans="1:29" ht="72.75" x14ac:dyDescent="1.3">
      <c r="A2" s="88" t="s">
        <v>50</v>
      </c>
      <c r="B2" s="87">
        <v>1.0186900000000001</v>
      </c>
      <c r="C2" s="42"/>
      <c r="D2" s="72"/>
      <c r="E2" s="74" t="s">
        <v>36</v>
      </c>
      <c r="F2" s="78">
        <f>$B$3</f>
        <v>1.0180100000000001</v>
      </c>
      <c r="G2" s="76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</row>
    <row r="3" spans="1:29" ht="72.75" x14ac:dyDescent="1.3">
      <c r="A3" s="88" t="s">
        <v>36</v>
      </c>
      <c r="B3" s="87">
        <v>1.0180100000000001</v>
      </c>
      <c r="C3" s="42"/>
      <c r="D3" s="72"/>
      <c r="E3" s="74" t="s">
        <v>37</v>
      </c>
      <c r="F3" s="43">
        <f>$B$4</f>
        <v>1.0171399999999999</v>
      </c>
      <c r="G3" s="76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</row>
    <row r="4" spans="1:29" ht="72.75" x14ac:dyDescent="1.3">
      <c r="A4" s="88" t="s">
        <v>37</v>
      </c>
      <c r="B4" s="87">
        <v>1.0171399999999999</v>
      </c>
      <c r="C4" s="42"/>
      <c r="D4" s="72"/>
      <c r="E4" s="75" t="s">
        <v>38</v>
      </c>
      <c r="F4" s="79">
        <f>$B$2</f>
        <v>1.0186900000000001</v>
      </c>
      <c r="G4" s="76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</row>
    <row r="5" spans="1:29" ht="62.25" x14ac:dyDescent="0.9">
      <c r="A5" s="43" t="s">
        <v>51</v>
      </c>
      <c r="B5" s="43">
        <v>9</v>
      </c>
      <c r="C5" s="42"/>
      <c r="D5" s="72"/>
      <c r="E5" s="74"/>
      <c r="F5" s="83"/>
      <c r="G5" s="76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</row>
    <row r="6" spans="1:29" ht="72.75" x14ac:dyDescent="1.3">
      <c r="A6" s="43" t="s">
        <v>52</v>
      </c>
      <c r="B6" s="43">
        <v>1</v>
      </c>
      <c r="C6" s="42"/>
      <c r="D6" s="72"/>
      <c r="E6" s="85" t="s">
        <v>53</v>
      </c>
      <c r="F6" s="97">
        <v>1.01851</v>
      </c>
      <c r="G6" s="76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</row>
    <row r="7" spans="1:29" ht="72.75" x14ac:dyDescent="1.3">
      <c r="A7" s="43" t="s">
        <v>22</v>
      </c>
      <c r="B7" s="43">
        <f>(B2-B1)/B5</f>
        <v>1.0000000000001365E-4</v>
      </c>
      <c r="C7" s="42"/>
      <c r="D7" s="72"/>
      <c r="E7" s="85" t="s">
        <v>54</v>
      </c>
      <c r="F7" s="97">
        <v>1.0185900000000001</v>
      </c>
      <c r="G7" s="76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</row>
    <row r="8" spans="1:29" ht="72.75" x14ac:dyDescent="1.3">
      <c r="A8" s="43" t="s">
        <v>55</v>
      </c>
      <c r="B8" s="43">
        <f>B3 - B4</f>
        <v>8.7000000000014843E-4</v>
      </c>
      <c r="C8" s="42"/>
      <c r="D8" s="72"/>
      <c r="E8" s="86" t="s">
        <v>56</v>
      </c>
      <c r="F8" s="98">
        <v>1.0176799999999999</v>
      </c>
      <c r="G8" s="76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</row>
    <row r="9" spans="1:29" ht="62.25" x14ac:dyDescent="0.9">
      <c r="A9" s="43" t="s">
        <v>57</v>
      </c>
      <c r="B9" s="43">
        <f>B8 * (B6 / B5)</f>
        <v>9.6666666666683147E-5</v>
      </c>
      <c r="C9" s="42"/>
      <c r="D9" s="72"/>
      <c r="E9" s="74"/>
      <c r="F9" s="62"/>
      <c r="G9" s="76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</row>
    <row r="10" spans="1:29" ht="62.25" x14ac:dyDescent="0.9">
      <c r="A10" s="43" t="s">
        <v>58</v>
      </c>
      <c r="B10" s="43">
        <f>(B2-B1) * (1 + (B6 / B5))</f>
        <v>1.0000000000001366E-3</v>
      </c>
      <c r="C10" s="42"/>
      <c r="D10" s="72" t="s">
        <v>59</v>
      </c>
      <c r="E10" s="92" t="s">
        <v>42</v>
      </c>
      <c r="F10" s="43">
        <f>$B$25 - $B$26 /2</f>
        <v>0.50944000000000011</v>
      </c>
      <c r="G10" s="76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</row>
    <row r="11" spans="1:29" ht="62.25" x14ac:dyDescent="0.9">
      <c r="A11" s="43" t="s">
        <v>60</v>
      </c>
      <c r="B11" s="44">
        <f xml:space="preserve"> B2 + (B7 * B8 * B6)</f>
        <v>1.0186900870000002</v>
      </c>
      <c r="C11" s="42"/>
      <c r="D11" s="72">
        <f>(F6+B2+F8)/3</f>
        <v>1.0182933333333335</v>
      </c>
      <c r="E11" s="92" t="s">
        <v>22</v>
      </c>
      <c r="F11" s="78">
        <f xml:space="preserve"> F4 - F6</f>
        <v>1.8000000000006899E-4</v>
      </c>
      <c r="G11" s="76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</row>
    <row r="12" spans="1:29" ht="62.25" x14ac:dyDescent="0.9">
      <c r="A12" s="43" t="s">
        <v>60</v>
      </c>
      <c r="B12" s="45">
        <f>B2+(B7*B9)</f>
        <v>1.0186900096666667</v>
      </c>
      <c r="C12" s="42"/>
      <c r="D12" s="72"/>
      <c r="E12" s="92" t="s">
        <v>23</v>
      </c>
      <c r="F12" s="43">
        <f xml:space="preserve"> $B$25-$B$26</f>
        <v>8.7000000000014843E-4</v>
      </c>
      <c r="G12" s="76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</row>
    <row r="13" spans="1:29" ht="93" x14ac:dyDescent="0.9">
      <c r="A13" s="46" t="s">
        <v>61</v>
      </c>
      <c r="B13" s="47"/>
      <c r="C13" s="42"/>
      <c r="D13" s="123">
        <f>(B3+B4+B2)/3+((B2-B1)*0.5)</f>
        <v>1.0183966666666668</v>
      </c>
      <c r="E13" s="74" t="s">
        <v>43</v>
      </c>
      <c r="F13" s="84">
        <f xml:space="preserve"> ($B$25 + $B$26) / 2 + (($B$27 - $B$28) * ($B$25 - $B$26) / 100)</f>
        <v>1.0175671400719999</v>
      </c>
      <c r="G13" s="76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</row>
    <row r="14" spans="1:29" ht="62.25" x14ac:dyDescent="0.9">
      <c r="A14" s="48" t="s">
        <v>62</v>
      </c>
      <c r="B14" s="45">
        <f>$B$2 + (($B$2 - $B$1) / $B$5) * $B$6 + ($B$8 / $B$5) * $B$6</f>
        <v>1.0188866666666667</v>
      </c>
      <c r="C14" s="42"/>
      <c r="D14" s="120" t="str">
        <f>IF(ABS(B2-F6)&gt;0.0007,"STRONG MOMENTUM","WEAK MOMENTUM")</f>
        <v>WEAK MOMENTUM</v>
      </c>
      <c r="E14" s="93" t="s">
        <v>44</v>
      </c>
      <c r="F14" s="113" t="str">
        <f xml:space="preserve"> IF($B$27 &gt; ($B$25 + $B$26) / 2 + (($B$27 - $B$28) * ($B$25 - $B$26) / 100), "Buy", "No Buy")</f>
        <v>Buy</v>
      </c>
      <c r="G14" s="76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</row>
    <row r="15" spans="1:29" ht="62.25" x14ac:dyDescent="0.9">
      <c r="A15" s="43" t="s">
        <v>63</v>
      </c>
      <c r="B15" s="43">
        <f>B7</f>
        <v>1.0000000000001365E-4</v>
      </c>
      <c r="C15" s="118" t="s">
        <v>64</v>
      </c>
      <c r="D15" s="120" t="str">
        <f>IF(AND(B2&gt;D19,B32&gt;0.0005),"BUY",IF(AND(B2&lt;D19,B32&lt;-0.0005),"SELL","WAIT"))</f>
        <v>WAIT</v>
      </c>
      <c r="E15" s="94" t="s">
        <v>45</v>
      </c>
      <c r="F15" s="114" t="str">
        <f xml:space="preserve"> IF($B$27 &lt; ($B$25 + $B$26) / 2 + (($B$27 - $B$28) * ($B$25 - $B$26) / 100), "Sell", "No Sell")</f>
        <v>No Sell</v>
      </c>
      <c r="G15" s="76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</row>
    <row r="16" spans="1:29" ht="62.25" x14ac:dyDescent="0.9">
      <c r="A16" s="43" t="s">
        <v>38</v>
      </c>
      <c r="B16" s="43">
        <v>3</v>
      </c>
      <c r="C16" s="119" t="s">
        <v>65</v>
      </c>
      <c r="D16" s="120"/>
      <c r="E16" s="93" t="s">
        <v>46</v>
      </c>
      <c r="F16" s="113" t="str">
        <f>IF($B$27 &gt; $B$34, "Buy", "No Buy")</f>
        <v>Buy</v>
      </c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</row>
    <row r="17" spans="1:30" ht="62.25" x14ac:dyDescent="0.9">
      <c r="A17" s="43" t="s">
        <v>66</v>
      </c>
      <c r="B17" s="43">
        <f>B2 * 0.008</f>
        <v>8.1495200000000004E-3</v>
      </c>
      <c r="C17" s="118" t="s">
        <v>67</v>
      </c>
      <c r="D17" s="120" t="str">
        <f>IF(B3-B4/B2&lt;0.0005,"SAFE TO TRADE","WAIT")</f>
        <v>WAIT</v>
      </c>
      <c r="E17" s="95" t="s">
        <v>47</v>
      </c>
      <c r="F17" s="115" t="str">
        <f>IF($B$27 &lt; $B$34, "Sell", "No Sell")</f>
        <v>No Sell</v>
      </c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</row>
    <row r="18" spans="1:30" ht="62.25" x14ac:dyDescent="0.9">
      <c r="A18" s="43" t="s">
        <v>68</v>
      </c>
      <c r="B18" s="49" t="str">
        <f>IF(B14&gt;B2+B16,"Buy","No Buy")</f>
        <v>No Buy</v>
      </c>
      <c r="C18" s="42"/>
      <c r="D18" s="120" t="str">
        <f>IF((B3-B4)/B2&gt;0.007,"TOO VOLATILE","SAFE TO TRADE")</f>
        <v>SAFE TO TRADE</v>
      </c>
      <c r="E18" s="126" t="str">
        <f>IF((B3-B4)/B2&gt;0.006,"HIGH VOLATILITY","SAFE TO TRADE")</f>
        <v>SAFE TO TRADE</v>
      </c>
      <c r="F18" s="125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</row>
    <row r="19" spans="1:30" ht="93" x14ac:dyDescent="1.35">
      <c r="A19" s="43" t="s">
        <v>69</v>
      </c>
      <c r="B19" s="50" t="str">
        <f>IF(B14&lt;B2-B16,"Sell","No Sell")</f>
        <v>No Sell</v>
      </c>
      <c r="C19" s="42"/>
      <c r="D19" s="117">
        <f>(B3+B4+B2)/3+(B2-B1)*E32</f>
        <v>1.0179474361431182</v>
      </c>
      <c r="E19" s="124" t="str">
        <f>IF(AND(ABS(B2-B3)&lt;0.0002,ABS(B2-B4)&lt;0.0002),"POTENTIAL FAKE MOVE","NORMAL")</f>
        <v>NORMAL</v>
      </c>
      <c r="F19" s="143" t="str">
        <f>IF(AND(B32&lt;0.0005,OR(B2=B3,B2=B4)),"REVERSAL CONFIRMED","WAIT")</f>
        <v>WAIT</v>
      </c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</row>
    <row r="20" spans="1:30" ht="64.5" customHeight="1" x14ac:dyDescent="0.9">
      <c r="A20" s="43" t="s">
        <v>70</v>
      </c>
      <c r="B20" s="51">
        <f>ABS(B14-B11)/B11*100</f>
        <v>1.9297298479211546E-2</v>
      </c>
      <c r="C20" s="42"/>
      <c r="D20" s="72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</row>
    <row r="21" spans="1:30" ht="91.5" customHeight="1" x14ac:dyDescent="1.95">
      <c r="A21" s="96" t="s">
        <v>6</v>
      </c>
      <c r="B21" s="99">
        <f xml:space="preserve"> B2 + (B15 * B17 * 2) + ((B3 - B4) / 6) * B17</f>
        <v>1.0186928115844001</v>
      </c>
      <c r="C21" s="90" t="s">
        <v>71</v>
      </c>
      <c r="D21" s="89">
        <f>B34</f>
        <v>1.0175671400719999</v>
      </c>
      <c r="E21" s="48" t="s">
        <v>62</v>
      </c>
      <c r="F21" s="100">
        <f>$B$2 + (($B$2 - $B$1) / $B$5) * $B$6 + ($B$8 / $B$5) * $B$6</f>
        <v>1.0188866666666667</v>
      </c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</row>
    <row r="22" spans="1:30" ht="37.5" x14ac:dyDescent="0.55000000000000004">
      <c r="A22" s="52"/>
      <c r="B22" s="53"/>
      <c r="C22" s="42"/>
      <c r="D22" s="72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</row>
    <row r="23" spans="1:30" ht="62.25" x14ac:dyDescent="0.9">
      <c r="A23" s="52"/>
      <c r="B23" s="42"/>
      <c r="C23" s="54"/>
      <c r="D23" s="101" t="s">
        <v>35</v>
      </c>
      <c r="E23" s="102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</row>
    <row r="24" spans="1:30" ht="62.25" x14ac:dyDescent="0.9">
      <c r="A24" s="55" t="s">
        <v>35</v>
      </c>
      <c r="B24" s="56"/>
      <c r="C24" s="42"/>
      <c r="D24" s="106" t="s">
        <v>36</v>
      </c>
      <c r="E24" s="106">
        <f>B3</f>
        <v>1.0180100000000001</v>
      </c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</row>
    <row r="25" spans="1:30" ht="62.25" x14ac:dyDescent="0.9">
      <c r="A25" s="41" t="s">
        <v>36</v>
      </c>
      <c r="B25" s="57">
        <f>$B$3</f>
        <v>1.0180100000000001</v>
      </c>
      <c r="C25" s="42"/>
      <c r="D25" s="106" t="s">
        <v>37</v>
      </c>
      <c r="E25" s="106">
        <f>B4</f>
        <v>1.0171399999999999</v>
      </c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</row>
    <row r="26" spans="1:30" ht="62.25" x14ac:dyDescent="0.9">
      <c r="A26" s="41" t="s">
        <v>37</v>
      </c>
      <c r="B26" s="58">
        <f>$B$4</f>
        <v>1.0171399999999999</v>
      </c>
      <c r="C26" s="42"/>
      <c r="D26" s="106" t="s">
        <v>38</v>
      </c>
      <c r="E26" s="106">
        <f>B2</f>
        <v>1.0186900000000001</v>
      </c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</row>
    <row r="27" spans="1:30" ht="62.25" x14ac:dyDescent="0.9">
      <c r="A27" s="59" t="s">
        <v>38</v>
      </c>
      <c r="B27" s="60">
        <f>$B$2</f>
        <v>1.0186900000000001</v>
      </c>
      <c r="C27" s="61"/>
      <c r="D27" s="106" t="s">
        <v>39</v>
      </c>
      <c r="E27" s="106">
        <f>F6</f>
        <v>1.01851</v>
      </c>
      <c r="F27" s="71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</row>
    <row r="28" spans="1:30" ht="62.25" x14ac:dyDescent="0.9">
      <c r="A28" s="68" t="s">
        <v>39</v>
      </c>
      <c r="B28" s="70">
        <v>1.9221299999999999</v>
      </c>
      <c r="C28" s="69"/>
      <c r="D28" s="106" t="s">
        <v>40</v>
      </c>
      <c r="E28" s="106">
        <f>F7</f>
        <v>1.0185900000000001</v>
      </c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</row>
    <row r="29" spans="1:30" ht="62.25" x14ac:dyDescent="0.9">
      <c r="A29" s="68" t="s">
        <v>40</v>
      </c>
      <c r="B29" s="70">
        <v>1.9236899999999999</v>
      </c>
      <c r="C29" s="69"/>
      <c r="D29" s="106" t="s">
        <v>41</v>
      </c>
      <c r="E29" s="106">
        <f>F8</f>
        <v>1.0176799999999999</v>
      </c>
      <c r="F29" s="73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</row>
    <row r="30" spans="1:30" ht="62.25" x14ac:dyDescent="0.9">
      <c r="A30" s="62" t="s">
        <v>41</v>
      </c>
      <c r="B30" s="62">
        <v>1.9179600000000001</v>
      </c>
      <c r="C30" s="63"/>
      <c r="D30" s="102" t="s">
        <v>42</v>
      </c>
      <c r="E30" s="102">
        <f>AVERAGE(E24, E25)</f>
        <v>1.0175749999999999</v>
      </c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</row>
    <row r="31" spans="1:30" ht="62.25" x14ac:dyDescent="0.9">
      <c r="A31" s="43" t="s">
        <v>42</v>
      </c>
      <c r="B31" s="58">
        <f>$B$25 - $B$26 /2</f>
        <v>0.50944000000000011</v>
      </c>
      <c r="C31" s="42"/>
      <c r="D31" s="102" t="s">
        <v>72</v>
      </c>
      <c r="E31" s="102">
        <f xml:space="preserve"> (E26 - E27) + (E27 - E30) / 2</f>
        <v>6.4750000000013408E-4</v>
      </c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</row>
    <row r="32" spans="1:30" ht="62.25" x14ac:dyDescent="0.9">
      <c r="A32" s="43" t="s">
        <v>22</v>
      </c>
      <c r="B32" s="57">
        <f xml:space="preserve"> $B$27 - $B$28</f>
        <v>-0.9034399999999998</v>
      </c>
      <c r="C32" s="42"/>
      <c r="D32" s="102" t="s">
        <v>23</v>
      </c>
      <c r="E32" s="102">
        <f xml:space="preserve"> (E24 - E25) / E30</f>
        <v>8.5497383485261388E-4</v>
      </c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</row>
    <row r="33" spans="1:30" ht="62.25" x14ac:dyDescent="0.9">
      <c r="A33" s="43" t="s">
        <v>23</v>
      </c>
      <c r="B33" s="58">
        <f xml:space="preserve"> $B$25-$B$26</f>
        <v>8.7000000000014843E-4</v>
      </c>
      <c r="C33" s="42"/>
      <c r="D33" s="106" t="s">
        <v>43</v>
      </c>
      <c r="E33" s="106">
        <f>AVERAGE(E27,E28, D29, D26 )</f>
        <v>1.0185500000000001</v>
      </c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</row>
    <row r="34" spans="1:30" ht="62.25" x14ac:dyDescent="0.9">
      <c r="A34" s="41" t="s">
        <v>43</v>
      </c>
      <c r="B34" s="64">
        <f xml:space="preserve"> ($B$25 + $B$26) / 2 + (($B$27 - $B$28) * ($B$25 - $B$26) / 100)</f>
        <v>1.0175671400719999</v>
      </c>
      <c r="C34" s="42"/>
      <c r="D34" s="102" t="s">
        <v>44</v>
      </c>
      <c r="E34" s="107" t="str">
        <f>IF(E26 &gt; E33, "BUY", "")</f>
        <v>BUY</v>
      </c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</row>
    <row r="35" spans="1:30" ht="62.25" x14ac:dyDescent="0.9">
      <c r="A35" s="43" t="s">
        <v>44</v>
      </c>
      <c r="B35" s="65" t="str">
        <f xml:space="preserve"> IF($B$27 &gt; ($B$25 + $B$26) / 2 + (($B$27 - $B$28) * ($B$25 - $B$26) / 100), "Buy", "No Buy")</f>
        <v>Buy</v>
      </c>
      <c r="C35" s="66"/>
      <c r="D35" s="102" t="s">
        <v>73</v>
      </c>
      <c r="E35" s="108" t="str">
        <f>IF(E26 &lt; E33, "SELL", "")</f>
        <v/>
      </c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</row>
    <row r="36" spans="1:30" ht="62.25" x14ac:dyDescent="0.9">
      <c r="A36" s="43" t="s">
        <v>45</v>
      </c>
      <c r="B36" s="67" t="str">
        <f xml:space="preserve"> IF($B$27 &lt; ($B$25 + $B$26) / 2 + (($B$27 - $B$28) * ($B$25 - $B$26) / 100), "Sell", "No Sell")</f>
        <v>No Sell</v>
      </c>
      <c r="C36" s="66"/>
      <c r="D36" s="102" t="s">
        <v>46</v>
      </c>
      <c r="E36" s="10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</row>
    <row r="37" spans="1:30" ht="62.25" x14ac:dyDescent="0.9">
      <c r="A37" s="43" t="s">
        <v>46</v>
      </c>
      <c r="B37" s="65" t="str">
        <f>IF($B$27 &gt; $B$34, "Buy", "No Buy")</f>
        <v>Buy</v>
      </c>
      <c r="C37" s="66"/>
      <c r="D37" s="102" t="s">
        <v>47</v>
      </c>
      <c r="E37" s="103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</row>
    <row r="38" spans="1:30" ht="62.25" x14ac:dyDescent="0.9">
      <c r="A38" s="43" t="s">
        <v>47</v>
      </c>
      <c r="B38" s="67" t="str">
        <f>IF($B$27 &lt; $B$34, "Sell", "No Sell")</f>
        <v>No Sell</v>
      </c>
      <c r="C38" s="66"/>
      <c r="D38" s="109" t="s">
        <v>60</v>
      </c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</row>
    <row r="39" spans="1:30" x14ac:dyDescent="0.2"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</row>
    <row r="40" spans="1:30" x14ac:dyDescent="0.2"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</row>
    <row r="41" spans="1:30" x14ac:dyDescent="0.2"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</row>
    <row r="42" spans="1:30" x14ac:dyDescent="0.2"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</row>
    <row r="43" spans="1:30" x14ac:dyDescent="0.2"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</row>
    <row r="44" spans="1:30" x14ac:dyDescent="0.2"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</row>
    <row r="45" spans="1:30" x14ac:dyDescent="0.2"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</row>
    <row r="46" spans="1:30" x14ac:dyDescent="0.2"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</row>
    <row r="47" spans="1:30" x14ac:dyDescent="0.2"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</row>
    <row r="48" spans="1:30" x14ac:dyDescent="0.2"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</row>
    <row r="49" spans="5:30" x14ac:dyDescent="0.2"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</row>
    <row r="50" spans="5:30" x14ac:dyDescent="0.2"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</row>
    <row r="51" spans="5:30" x14ac:dyDescent="0.2"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</row>
    <row r="52" spans="5:30" x14ac:dyDescent="0.2"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</row>
    <row r="53" spans="5:30" x14ac:dyDescent="0.2"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</row>
    <row r="54" spans="5:30" x14ac:dyDescent="0.2"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</row>
    <row r="55" spans="5:30" x14ac:dyDescent="0.2"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</row>
    <row r="56" spans="5:30" x14ac:dyDescent="0.2"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</row>
    <row r="57" spans="5:30" x14ac:dyDescent="0.2"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</row>
    <row r="58" spans="5:30" x14ac:dyDescent="0.2"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</row>
    <row r="59" spans="5:30" x14ac:dyDescent="0.2"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</row>
    <row r="60" spans="5:30" x14ac:dyDescent="0.2"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</row>
    <row r="61" spans="5:30" x14ac:dyDescent="0.2"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</row>
    <row r="62" spans="5:30" x14ac:dyDescent="0.2"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</row>
    <row r="63" spans="5:30" x14ac:dyDescent="0.2"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</row>
    <row r="64" spans="5:30" x14ac:dyDescent="0.2"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</row>
    <row r="65" spans="5:30" x14ac:dyDescent="0.2"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</row>
    <row r="66" spans="5:30" x14ac:dyDescent="0.2"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</row>
    <row r="67" spans="5:30" x14ac:dyDescent="0.2"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</row>
    <row r="68" spans="5:30" x14ac:dyDescent="0.2"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</row>
    <row r="69" spans="5:30" x14ac:dyDescent="0.2"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</row>
    <row r="70" spans="5:30" x14ac:dyDescent="0.2"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</row>
    <row r="71" spans="5:30" x14ac:dyDescent="0.2"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</row>
    <row r="72" spans="5:30" x14ac:dyDescent="0.2"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</row>
    <row r="73" spans="5:30" x14ac:dyDescent="0.2"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</row>
    <row r="74" spans="5:30" x14ac:dyDescent="0.2"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</row>
    <row r="75" spans="5:30" x14ac:dyDescent="0.2"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</row>
    <row r="76" spans="5:30" x14ac:dyDescent="0.2"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</row>
    <row r="77" spans="5:30" x14ac:dyDescent="0.2"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</row>
    <row r="78" spans="5:30" x14ac:dyDescent="0.2"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</row>
    <row r="79" spans="5:30" x14ac:dyDescent="0.2"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</row>
    <row r="80" spans="5:30" x14ac:dyDescent="0.2"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</row>
    <row r="81" spans="5:30" x14ac:dyDescent="0.2"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</row>
    <row r="82" spans="5:30" x14ac:dyDescent="0.2"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</row>
    <row r="83" spans="5:30" x14ac:dyDescent="0.2"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</row>
    <row r="84" spans="5:30" x14ac:dyDescent="0.2"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</row>
    <row r="85" spans="5:30" x14ac:dyDescent="0.2"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</row>
    <row r="86" spans="5:30" x14ac:dyDescent="0.2"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</row>
    <row r="87" spans="5:30" x14ac:dyDescent="0.2"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</row>
    <row r="88" spans="5:30" x14ac:dyDescent="0.2"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</row>
    <row r="89" spans="5:30" x14ac:dyDescent="0.2"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</row>
    <row r="90" spans="5:30" x14ac:dyDescent="0.2"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</row>
    <row r="91" spans="5:30" x14ac:dyDescent="0.2"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</row>
    <row r="92" spans="5:30" x14ac:dyDescent="0.2"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</row>
    <row r="93" spans="5:30" x14ac:dyDescent="0.2"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</row>
    <row r="94" spans="5:30" x14ac:dyDescent="0.2"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</row>
    <row r="95" spans="5:30" x14ac:dyDescent="0.2"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</row>
    <row r="96" spans="5:30" x14ac:dyDescent="0.2"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</row>
    <row r="97" spans="5:30" x14ac:dyDescent="0.2"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</row>
    <row r="98" spans="5:30" x14ac:dyDescent="0.2"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</row>
    <row r="99" spans="5:30" x14ac:dyDescent="0.2"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</row>
    <row r="100" spans="5:30" x14ac:dyDescent="0.2"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</row>
    <row r="101" spans="5:30" x14ac:dyDescent="0.2"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</row>
    <row r="102" spans="5:30" x14ac:dyDescent="0.2"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</row>
    <row r="103" spans="5:30" x14ac:dyDescent="0.2"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</row>
    <row r="104" spans="5:30" x14ac:dyDescent="0.2"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</row>
    <row r="105" spans="5:30" x14ac:dyDescent="0.2"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</row>
    <row r="106" spans="5:30" x14ac:dyDescent="0.2"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</row>
    <row r="107" spans="5:30" x14ac:dyDescent="0.2"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</row>
    <row r="108" spans="5:30" x14ac:dyDescent="0.2"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</row>
    <row r="109" spans="5:30" x14ac:dyDescent="0.2"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</row>
    <row r="110" spans="5:30" x14ac:dyDescent="0.2"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</row>
    <row r="111" spans="5:30" x14ac:dyDescent="0.2"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</row>
    <row r="112" spans="5:30" x14ac:dyDescent="0.2"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</row>
    <row r="113" spans="5:30" x14ac:dyDescent="0.2"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</row>
    <row r="114" spans="5:30" x14ac:dyDescent="0.2">
      <c r="E114" s="71"/>
      <c r="F114" s="71"/>
    </row>
    <row r="115" spans="5:30" x14ac:dyDescent="0.2">
      <c r="E115" s="71"/>
      <c r="F115" s="7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8EE7-FF91-4E78-B7BE-E657124E8ADD}">
  <dimension ref="A1:F42"/>
  <sheetViews>
    <sheetView topLeftCell="A6" workbookViewId="0">
      <selection activeCell="C14" sqref="C14"/>
    </sheetView>
  </sheetViews>
  <sheetFormatPr defaultColWidth="8.875" defaultRowHeight="15" x14ac:dyDescent="0.2"/>
  <cols>
    <col min="1" max="1" width="109.09765625" customWidth="1"/>
    <col min="2" max="2" width="100.890625" customWidth="1"/>
    <col min="3" max="3" width="97.796875" customWidth="1"/>
    <col min="4" max="4" width="100.21875" customWidth="1"/>
    <col min="5" max="5" width="124.03125" customWidth="1"/>
    <col min="6" max="6" width="116.2265625" customWidth="1"/>
  </cols>
  <sheetData>
    <row r="1" spans="1:6" ht="72.75" x14ac:dyDescent="1.3">
      <c r="A1" s="88" t="s">
        <v>48</v>
      </c>
      <c r="B1" s="87">
        <v>0.57308000000000003</v>
      </c>
      <c r="C1" s="42"/>
      <c r="D1" s="72"/>
      <c r="E1" s="91" t="s">
        <v>35</v>
      </c>
      <c r="F1" s="77" t="s">
        <v>49</v>
      </c>
    </row>
    <row r="2" spans="1:6" ht="72.75" x14ac:dyDescent="1.3">
      <c r="A2" s="88" t="s">
        <v>50</v>
      </c>
      <c r="B2" s="87">
        <v>0.57718000000000003</v>
      </c>
      <c r="C2" s="42"/>
      <c r="D2" s="72"/>
      <c r="E2" s="74" t="s">
        <v>36</v>
      </c>
      <c r="F2" s="51">
        <f>B3</f>
        <v>0.57774999999999999</v>
      </c>
    </row>
    <row r="3" spans="1:6" ht="72.75" x14ac:dyDescent="1.3">
      <c r="A3" s="88" t="s">
        <v>36</v>
      </c>
      <c r="B3" s="87">
        <v>0.57774999999999999</v>
      </c>
      <c r="C3" s="42"/>
      <c r="D3" s="72"/>
      <c r="E3" s="74" t="s">
        <v>37</v>
      </c>
      <c r="F3" s="41">
        <f>B4</f>
        <v>0.57269000000000003</v>
      </c>
    </row>
    <row r="4" spans="1:6" ht="72.75" x14ac:dyDescent="1.3">
      <c r="A4" s="88" t="s">
        <v>37</v>
      </c>
      <c r="B4" s="87">
        <v>0.57269000000000003</v>
      </c>
      <c r="C4" s="42"/>
      <c r="D4" s="72"/>
      <c r="E4" s="75" t="s">
        <v>38</v>
      </c>
      <c r="F4" s="111">
        <f>B2</f>
        <v>0.57718000000000003</v>
      </c>
    </row>
    <row r="5" spans="1:6" ht="62.25" x14ac:dyDescent="0.9">
      <c r="A5" s="43" t="s">
        <v>51</v>
      </c>
      <c r="B5" s="43">
        <v>9</v>
      </c>
      <c r="C5" s="42"/>
      <c r="D5" s="72"/>
      <c r="E5" s="74"/>
      <c r="F5" s="83"/>
    </row>
    <row r="6" spans="1:6" ht="72.75" x14ac:dyDescent="1.3">
      <c r="A6" s="43" t="s">
        <v>52</v>
      </c>
      <c r="B6" s="43">
        <v>1</v>
      </c>
      <c r="C6" s="42"/>
      <c r="D6" s="72"/>
      <c r="E6" s="85" t="s">
        <v>53</v>
      </c>
      <c r="F6" s="97">
        <v>0.57308000000000003</v>
      </c>
    </row>
    <row r="7" spans="1:6" ht="72.75" x14ac:dyDescent="1.3">
      <c r="A7" s="43" t="s">
        <v>22</v>
      </c>
      <c r="B7" s="43">
        <f>(B2-B1)/B5</f>
        <v>4.5555555555555475E-4</v>
      </c>
      <c r="C7" s="52" t="s">
        <v>74</v>
      </c>
      <c r="D7" s="112">
        <f>(B3-B4)/B2</f>
        <v>8.7667625350842954E-3</v>
      </c>
      <c r="E7" s="85" t="s">
        <v>54</v>
      </c>
      <c r="F7" s="97">
        <v>0.57467000000000001</v>
      </c>
    </row>
    <row r="8" spans="1:6" ht="72.75" x14ac:dyDescent="1.3">
      <c r="A8" s="43" t="s">
        <v>55</v>
      </c>
      <c r="B8" s="43">
        <f>B3 - B4</f>
        <v>5.0599999999999534E-3</v>
      </c>
      <c r="C8" s="42"/>
      <c r="D8" s="72"/>
      <c r="E8" s="86" t="s">
        <v>56</v>
      </c>
      <c r="F8" s="98">
        <v>0.57243999999999995</v>
      </c>
    </row>
    <row r="9" spans="1:6" ht="62.25" x14ac:dyDescent="0.9">
      <c r="A9" s="43" t="s">
        <v>57</v>
      </c>
      <c r="B9" s="43">
        <f>B8 * (B6 / B5)</f>
        <v>5.62222222222217E-4</v>
      </c>
      <c r="C9" s="42"/>
      <c r="D9" s="72"/>
      <c r="E9" s="74"/>
      <c r="F9" s="62"/>
    </row>
    <row r="10" spans="1:6" ht="62.25" x14ac:dyDescent="0.9">
      <c r="A10" s="43" t="s">
        <v>58</v>
      </c>
      <c r="B10" s="43">
        <f>(B2-B1) * (1 + (B6 / B5))</f>
        <v>4.5555555555555471E-3</v>
      </c>
      <c r="C10" s="42"/>
      <c r="D10" s="72"/>
      <c r="E10" s="92" t="s">
        <v>42</v>
      </c>
      <c r="F10" s="43">
        <f>$B$25 - $B$26 /2</f>
        <v>0.28410000000000002</v>
      </c>
    </row>
    <row r="11" spans="1:6" ht="62.25" x14ac:dyDescent="0.9">
      <c r="A11" s="43" t="s">
        <v>60</v>
      </c>
      <c r="B11" s="44">
        <f xml:space="preserve"> B2 + (B7 * B8 * B6)</f>
        <v>0.57718230511111113</v>
      </c>
      <c r="C11" s="42"/>
      <c r="D11" s="112">
        <f>(B2+F6+B30)/3</f>
        <v>0.57516</v>
      </c>
      <c r="E11" s="92" t="s">
        <v>22</v>
      </c>
      <c r="F11" s="78">
        <f xml:space="preserve"> F4 - F6</f>
        <v>4.0999999999999925E-3</v>
      </c>
    </row>
    <row r="12" spans="1:6" ht="62.25" x14ac:dyDescent="0.9">
      <c r="A12" s="43" t="s">
        <v>60</v>
      </c>
      <c r="B12" s="45">
        <f>B2+(B7*B9)</f>
        <v>0.5771802561234568</v>
      </c>
      <c r="C12" s="42"/>
      <c r="D12" s="72"/>
      <c r="E12" s="92" t="s">
        <v>23</v>
      </c>
      <c r="F12" s="43">
        <f xml:space="preserve"> $B$25-$B$26</f>
        <v>-4.489999999999994E-3</v>
      </c>
    </row>
    <row r="13" spans="1:6" ht="62.25" x14ac:dyDescent="0.9">
      <c r="A13" s="46" t="s">
        <v>61</v>
      </c>
      <c r="B13" s="47"/>
      <c r="C13" s="42"/>
      <c r="D13" s="112">
        <f>(F6+F7+F8)/3</f>
        <v>0.57339666666666667</v>
      </c>
      <c r="E13" s="74" t="s">
        <v>43</v>
      </c>
      <c r="F13" s="84">
        <f xml:space="preserve"> ($B$25 + $B$26) / 2 + (($B$27 - $B$28) * ($B$25 - $B$26) / 100)</f>
        <v>0.57493507139099997</v>
      </c>
    </row>
    <row r="14" spans="1:6" ht="62.25" x14ac:dyDescent="0.9">
      <c r="A14" s="48" t="s">
        <v>62</v>
      </c>
      <c r="B14" s="45">
        <f>$B$2 + (($B$2 - $B$1) / $B$5) * $B$6 + ($B$8 / $B$5) * $B$6</f>
        <v>0.57819777777777781</v>
      </c>
      <c r="C14" s="42"/>
      <c r="D14" s="72"/>
      <c r="E14" s="93" t="s">
        <v>44</v>
      </c>
      <c r="F14" s="80" t="str">
        <f xml:space="preserve"> IF($B$27 &gt; ($B$25 + $B$26) / 2 + (($B$27 - $B$28) * ($B$25 - $B$26) / 100), "Buy", "No Buy")</f>
        <v>No Buy</v>
      </c>
    </row>
    <row r="15" spans="1:6" ht="62.25" x14ac:dyDescent="0.9">
      <c r="A15" s="43" t="s">
        <v>63</v>
      </c>
      <c r="B15" s="43">
        <f>B7</f>
        <v>4.5555555555555475E-4</v>
      </c>
      <c r="C15" s="42"/>
      <c r="D15" s="112">
        <f>(B3+B4)/2+(B31*B32)</f>
        <v>0.57524665380202367</v>
      </c>
      <c r="E15" s="94" t="s">
        <v>45</v>
      </c>
      <c r="F15" s="81" t="str">
        <f xml:space="preserve"> IF($B$27 &lt; ($B$25 + $B$26) / 2 + (($B$27 - $B$28) * ($B$25 - $B$26) / 100), "Sell", "No Sell")</f>
        <v>Sell</v>
      </c>
    </row>
    <row r="16" spans="1:6" ht="62.25" x14ac:dyDescent="0.9">
      <c r="A16" s="43" t="s">
        <v>38</v>
      </c>
      <c r="B16" s="43">
        <f>B2</f>
        <v>0.57718000000000003</v>
      </c>
      <c r="C16" s="42"/>
      <c r="D16" s="112">
        <f>(B2-F6)/F6</f>
        <v>7.154324003629497E-3</v>
      </c>
      <c r="E16" s="93" t="s">
        <v>46</v>
      </c>
      <c r="F16" s="80" t="str">
        <f>IF($B$27 &gt; $B$34, "Buy", "No Buy")</f>
        <v>No Buy</v>
      </c>
    </row>
    <row r="17" spans="1:6" ht="62.25" x14ac:dyDescent="0.9">
      <c r="A17" s="43" t="s">
        <v>66</v>
      </c>
      <c r="B17" s="43">
        <f>B2 * 0.008</f>
        <v>4.6174400000000004E-3</v>
      </c>
      <c r="C17" s="42"/>
      <c r="D17" s="72"/>
      <c r="E17" s="95" t="s">
        <v>47</v>
      </c>
      <c r="F17" s="82" t="str">
        <f>IF($B$27 &lt; $B$34, "Sell", "No Sell")</f>
        <v>Sell</v>
      </c>
    </row>
    <row r="18" spans="1:6" ht="62.25" x14ac:dyDescent="0.9">
      <c r="A18" s="43" t="s">
        <v>68</v>
      </c>
      <c r="B18" s="49" t="str">
        <f>IF(B14&gt;B2+B16,"Buy","No Buy")</f>
        <v>No Buy</v>
      </c>
      <c r="C18" s="42"/>
      <c r="D18" s="116">
        <f>(B3+B4+B2)/3+(B2-B1)*B32</f>
        <v>0.57590939953409137</v>
      </c>
      <c r="E18" s="71" t="s">
        <v>49</v>
      </c>
      <c r="F18" s="71" t="s">
        <v>75</v>
      </c>
    </row>
    <row r="19" spans="1:6" ht="62.25" x14ac:dyDescent="0.9">
      <c r="A19" s="43" t="s">
        <v>69</v>
      </c>
      <c r="B19" s="50" t="str">
        <f>IF(B14&lt;B2-B16,"Sell","No Sell")</f>
        <v>No Sell</v>
      </c>
      <c r="C19" s="42"/>
      <c r="D19" s="72"/>
      <c r="E19" s="102"/>
      <c r="F19" s="71"/>
    </row>
    <row r="20" spans="1:6" ht="62.25" x14ac:dyDescent="0.9">
      <c r="A20" s="43" t="s">
        <v>70</v>
      </c>
      <c r="B20" s="51">
        <f>ABS(B14-B11)/B11*100</f>
        <v>0.17593620900613002</v>
      </c>
      <c r="C20" s="42"/>
      <c r="D20" s="72"/>
      <c r="E20" s="71"/>
      <c r="F20" s="71"/>
    </row>
    <row r="21" spans="1:6" ht="109.5" x14ac:dyDescent="1.95">
      <c r="A21" s="96" t="s">
        <v>6</v>
      </c>
      <c r="B21" s="99">
        <f xml:space="preserve"> B2 + (B15 * B17 * 2) + ((B3 - B4) / 6) * B17</f>
        <v>0.57718810104195561</v>
      </c>
      <c r="C21" s="90" t="s">
        <v>71</v>
      </c>
      <c r="D21" s="110">
        <f>B33</f>
        <v>0.57387500000000002</v>
      </c>
      <c r="E21" s="48" t="s">
        <v>62</v>
      </c>
      <c r="F21" s="100">
        <f>$B$2 + (($B$2 - $B$1) / $B$5) * $B$6 + ($B$8 / $B$5) * $B$6</f>
        <v>0.57819777777777781</v>
      </c>
    </row>
    <row r="22" spans="1:6" ht="62.25" x14ac:dyDescent="0.9">
      <c r="A22" s="105"/>
      <c r="B22" s="105"/>
      <c r="C22" s="42"/>
      <c r="D22" s="72"/>
      <c r="E22" s="74"/>
      <c r="F22" s="83"/>
    </row>
    <row r="23" spans="1:6" ht="72.75" x14ac:dyDescent="1.3">
      <c r="A23" s="101" t="s">
        <v>35</v>
      </c>
      <c r="B23" s="102"/>
      <c r="C23" s="104"/>
      <c r="D23" s="72"/>
      <c r="E23" s="85"/>
      <c r="F23" s="97"/>
    </row>
    <row r="24" spans="1:6" ht="72.75" x14ac:dyDescent="1.3">
      <c r="A24" s="106" t="s">
        <v>36</v>
      </c>
      <c r="B24" s="106">
        <f>B3</f>
        <v>0.57774999999999999</v>
      </c>
      <c r="C24" s="104"/>
      <c r="D24" s="72"/>
      <c r="E24" s="85"/>
      <c r="F24" s="97"/>
    </row>
    <row r="25" spans="1:6" ht="72.75" x14ac:dyDescent="1.3">
      <c r="A25" s="106" t="s">
        <v>37</v>
      </c>
      <c r="B25" s="106">
        <f>B4</f>
        <v>0.57269000000000003</v>
      </c>
      <c r="C25" s="104"/>
      <c r="D25" s="72"/>
      <c r="E25" s="86"/>
      <c r="F25" s="98"/>
    </row>
    <row r="26" spans="1:6" ht="62.25" x14ac:dyDescent="0.9">
      <c r="A26" s="106" t="s">
        <v>38</v>
      </c>
      <c r="B26" s="106">
        <f>B2</f>
        <v>0.57718000000000003</v>
      </c>
      <c r="C26" s="104"/>
      <c r="D26" s="72"/>
      <c r="E26" s="74"/>
      <c r="F26" s="62"/>
    </row>
    <row r="27" spans="1:6" ht="62.25" x14ac:dyDescent="0.9">
      <c r="A27" s="106" t="s">
        <v>39</v>
      </c>
      <c r="B27" s="106">
        <f>F6</f>
        <v>0.57308000000000003</v>
      </c>
      <c r="C27" s="104"/>
      <c r="D27" s="72"/>
      <c r="E27" s="92"/>
      <c r="F27" s="43"/>
    </row>
    <row r="28" spans="1:6" ht="62.25" x14ac:dyDescent="0.9">
      <c r="A28" s="106" t="s">
        <v>40</v>
      </c>
      <c r="B28" s="106">
        <f>F7</f>
        <v>0.57467000000000001</v>
      </c>
      <c r="C28" s="104"/>
      <c r="D28" s="72"/>
      <c r="E28" s="92"/>
      <c r="F28" s="78"/>
    </row>
    <row r="29" spans="1:6" ht="62.25" x14ac:dyDescent="0.9">
      <c r="A29" s="106" t="s">
        <v>41</v>
      </c>
      <c r="B29" s="106">
        <f>F8</f>
        <v>0.57243999999999995</v>
      </c>
      <c r="C29" s="104"/>
      <c r="D29" s="72"/>
      <c r="E29" s="92"/>
      <c r="F29" s="43"/>
    </row>
    <row r="30" spans="1:6" ht="62.25" x14ac:dyDescent="0.9">
      <c r="A30" s="102" t="s">
        <v>42</v>
      </c>
      <c r="B30" s="102">
        <f>AVERAGE(B24, B25)</f>
        <v>0.57522000000000006</v>
      </c>
      <c r="C30" s="104"/>
      <c r="D30" s="72"/>
      <c r="E30" s="74"/>
      <c r="F30" s="84"/>
    </row>
    <row r="31" spans="1:6" ht="62.25" x14ac:dyDescent="0.9">
      <c r="A31" s="102" t="s">
        <v>72</v>
      </c>
      <c r="B31" s="102">
        <f xml:space="preserve"> (B26 - B27) + (B27 - B30) / 2</f>
        <v>3.0299999999999772E-3</v>
      </c>
      <c r="C31" s="104"/>
      <c r="D31" s="72"/>
      <c r="E31" s="93"/>
      <c r="F31" s="80"/>
    </row>
    <row r="32" spans="1:6" ht="62.25" x14ac:dyDescent="0.9">
      <c r="A32" s="102" t="s">
        <v>23</v>
      </c>
      <c r="B32" s="102">
        <f xml:space="preserve"> (B24 - B25) / B30</f>
        <v>8.7966343312123243E-3</v>
      </c>
      <c r="C32" s="104"/>
      <c r="D32" s="72"/>
      <c r="E32" s="94"/>
      <c r="F32" s="81"/>
    </row>
    <row r="33" spans="1:6" ht="62.25" x14ac:dyDescent="0.9">
      <c r="A33" s="106" t="s">
        <v>43</v>
      </c>
      <c r="B33" s="106">
        <f>AVERAGE(B27,B28, A29, A26 )</f>
        <v>0.57387500000000002</v>
      </c>
      <c r="C33" s="104"/>
      <c r="D33" s="72"/>
      <c r="E33" s="93"/>
      <c r="F33" s="80"/>
    </row>
    <row r="34" spans="1:6" ht="62.25" x14ac:dyDescent="0.9">
      <c r="A34" s="102" t="s">
        <v>44</v>
      </c>
      <c r="B34" s="107" t="str">
        <f>IF(B26 &gt; B33, "BUY", "")</f>
        <v>BUY</v>
      </c>
      <c r="C34" s="104"/>
      <c r="D34" s="72"/>
      <c r="E34" s="95"/>
      <c r="F34" s="82"/>
    </row>
    <row r="35" spans="1:6" ht="62.25" x14ac:dyDescent="0.9">
      <c r="A35" s="102" t="s">
        <v>73</v>
      </c>
      <c r="B35" s="108" t="str">
        <f>IF(B26 &lt; B33, "SELL", "")</f>
        <v/>
      </c>
      <c r="C35" s="104"/>
      <c r="D35" s="72"/>
      <c r="E35" s="71"/>
      <c r="F35" s="71"/>
    </row>
    <row r="36" spans="1:6" ht="62.25" x14ac:dyDescent="0.9">
      <c r="A36" s="102" t="s">
        <v>46</v>
      </c>
      <c r="B36" s="101"/>
      <c r="C36" s="104"/>
      <c r="D36" s="72"/>
      <c r="E36" s="71"/>
      <c r="F36" s="71"/>
    </row>
    <row r="37" spans="1:6" ht="62.25" x14ac:dyDescent="0.9">
      <c r="A37" s="102" t="s">
        <v>47</v>
      </c>
      <c r="B37" s="103"/>
      <c r="C37" s="104"/>
      <c r="D37" s="72"/>
      <c r="E37" s="71"/>
      <c r="F37" s="71"/>
    </row>
    <row r="38" spans="1:6" ht="109.5" x14ac:dyDescent="1.95">
      <c r="A38" s="109" t="s">
        <v>60</v>
      </c>
      <c r="C38" s="90"/>
      <c r="D38" s="89"/>
      <c r="E38" s="48"/>
      <c r="F38" s="100"/>
    </row>
    <row r="42" spans="1:6" ht="21" x14ac:dyDescent="0.3">
      <c r="A42" s="17"/>
      <c r="B42" s="17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EE823-007D-4EAB-9D3C-9D17D065FD11}">
  <dimension ref="A1:C21"/>
  <sheetViews>
    <sheetView workbookViewId="0">
      <selection activeCell="B1" sqref="B1"/>
    </sheetView>
  </sheetViews>
  <sheetFormatPr defaultColWidth="8.875" defaultRowHeight="15" x14ac:dyDescent="0.2"/>
  <cols>
    <col min="1" max="1" width="32.8203125" customWidth="1"/>
    <col min="2" max="2" width="33.359375" customWidth="1"/>
  </cols>
  <sheetData>
    <row r="1" spans="1:3" ht="24.75" x14ac:dyDescent="0.35">
      <c r="A1" s="26" t="s">
        <v>16</v>
      </c>
      <c r="B1" s="27"/>
      <c r="C1" s="28"/>
    </row>
    <row r="2" spans="1:3" ht="24.75" x14ac:dyDescent="0.35">
      <c r="A2" s="26" t="s">
        <v>17</v>
      </c>
      <c r="B2" s="27"/>
      <c r="C2" s="28"/>
    </row>
    <row r="3" spans="1:3" ht="24.75" x14ac:dyDescent="0.35">
      <c r="A3" s="26" t="s">
        <v>18</v>
      </c>
      <c r="B3" s="29"/>
      <c r="C3" s="28"/>
    </row>
    <row r="4" spans="1:3" ht="24.75" x14ac:dyDescent="0.35">
      <c r="A4" s="26" t="s">
        <v>19</v>
      </c>
      <c r="B4" s="27"/>
      <c r="C4" s="28"/>
    </row>
    <row r="5" spans="1:3" ht="18.75" x14ac:dyDescent="0.25">
      <c r="A5" s="30" t="s">
        <v>20</v>
      </c>
      <c r="B5" s="19">
        <v>9</v>
      </c>
      <c r="C5" s="28"/>
    </row>
    <row r="6" spans="1:3" ht="18.75" x14ac:dyDescent="0.25">
      <c r="A6" s="30" t="s">
        <v>21</v>
      </c>
      <c r="B6" s="19">
        <v>1</v>
      </c>
      <c r="C6" s="28"/>
    </row>
    <row r="7" spans="1:3" ht="18.75" x14ac:dyDescent="0.25">
      <c r="A7" s="30" t="s">
        <v>22</v>
      </c>
      <c r="B7" s="19">
        <f>(B2 - B1) / B5</f>
        <v>0</v>
      </c>
      <c r="C7" s="28"/>
    </row>
    <row r="8" spans="1:3" ht="18.75" x14ac:dyDescent="0.25">
      <c r="A8" s="30" t="s">
        <v>23</v>
      </c>
      <c r="B8" s="19">
        <f>B3 - B4</f>
        <v>0</v>
      </c>
      <c r="C8" s="28"/>
    </row>
    <row r="9" spans="1:3" ht="18.75" x14ac:dyDescent="0.25">
      <c r="A9" s="30" t="s">
        <v>24</v>
      </c>
      <c r="B9" s="19">
        <f>(B8 / 10)</f>
        <v>0</v>
      </c>
      <c r="C9" s="28"/>
    </row>
    <row r="10" spans="1:3" ht="18.75" x14ac:dyDescent="0.25">
      <c r="A10" s="30" t="s">
        <v>25</v>
      </c>
      <c r="B10" s="19">
        <f>IF(B2&lt;B1, B7-(B9/10), B7+(B9/10))</f>
        <v>0</v>
      </c>
      <c r="C10" s="28"/>
    </row>
    <row r="11" spans="1:3" ht="21" x14ac:dyDescent="0.3">
      <c r="A11" s="30" t="s">
        <v>26</v>
      </c>
      <c r="B11" s="31">
        <f>B2 + B10 + B9</f>
        <v>0</v>
      </c>
      <c r="C11" s="28"/>
    </row>
    <row r="12" spans="1:3" ht="21" x14ac:dyDescent="0.3">
      <c r="A12" s="30" t="s">
        <v>27</v>
      </c>
      <c r="B12" s="31">
        <f>B2+(B7*B9)</f>
        <v>0</v>
      </c>
      <c r="C12" s="28"/>
    </row>
    <row r="13" spans="1:3" ht="18.75" x14ac:dyDescent="0.25">
      <c r="A13" s="32" t="s">
        <v>28</v>
      </c>
      <c r="B13" s="33" t="str">
        <f>IF(ABS(B14 - B16) &gt; B17, IF(B14 &gt; B16, "Buy", "Sell"), "No Buy No Sell")</f>
        <v>No Buy No Sell</v>
      </c>
      <c r="C13" s="28"/>
    </row>
    <row r="14" spans="1:3" ht="21" x14ac:dyDescent="0.3">
      <c r="A14" s="34" t="s">
        <v>29</v>
      </c>
      <c r="B14" s="35">
        <f>B2+(B10*B6)+(B9/10)</f>
        <v>0</v>
      </c>
      <c r="C14" s="28"/>
    </row>
    <row r="15" spans="1:3" ht="18.75" x14ac:dyDescent="0.25">
      <c r="A15" s="30" t="s">
        <v>22</v>
      </c>
      <c r="B15" s="19">
        <f>B7</f>
        <v>0</v>
      </c>
      <c r="C15" s="28"/>
    </row>
    <row r="16" spans="1:3" ht="18.75" x14ac:dyDescent="0.25">
      <c r="A16" s="30" t="s">
        <v>30</v>
      </c>
      <c r="B16" s="19">
        <f>B2</f>
        <v>0</v>
      </c>
      <c r="C16" s="28"/>
    </row>
    <row r="17" spans="1:3" ht="18.75" x14ac:dyDescent="0.25">
      <c r="A17" s="30" t="s">
        <v>31</v>
      </c>
      <c r="B17" s="19">
        <f>B2 * 0.001</f>
        <v>0</v>
      </c>
      <c r="C17" s="28"/>
    </row>
    <row r="18" spans="1:3" ht="18.75" x14ac:dyDescent="0.25">
      <c r="A18" s="30" t="s">
        <v>32</v>
      </c>
      <c r="B18" s="36"/>
      <c r="C18" s="28"/>
    </row>
    <row r="19" spans="1:3" ht="18.75" x14ac:dyDescent="0.25">
      <c r="A19" s="30" t="s">
        <v>33</v>
      </c>
      <c r="B19" s="37" t="str">
        <f>IF(AND(B14&lt;B16-B17, B7&lt;0), "Sell", "No Sell")</f>
        <v>No Sell</v>
      </c>
      <c r="C19" s="28"/>
    </row>
    <row r="20" spans="1:3" ht="18.75" x14ac:dyDescent="0.25">
      <c r="A20" s="30" t="s">
        <v>34</v>
      </c>
      <c r="B20" s="38" t="e" cm="1">
        <f t="array" aca="1" ref="B20" ca="1">IF(ABS(Predicted Close - Current _xludf.Price) &gt; Threshold * 1.5, "High Confidence", "Low Confidence")</f>
        <v>#NAME?</v>
      </c>
      <c r="C20" s="28"/>
    </row>
    <row r="21" spans="1:3" ht="31.5" x14ac:dyDescent="0.45">
      <c r="A21" s="39" t="s">
        <v>6</v>
      </c>
      <c r="B21" s="40">
        <f xml:space="preserve"> B2 + (B15 * B17 * 2) + ((B3 - B4) / 6) * B17</f>
        <v>0</v>
      </c>
      <c r="C21" s="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ACFC-D2E4-4F69-800D-8721762D2A8F}">
  <dimension ref="A1:C22"/>
  <sheetViews>
    <sheetView workbookViewId="0">
      <selection activeCell="B14" sqref="B14"/>
    </sheetView>
  </sheetViews>
  <sheetFormatPr defaultColWidth="8.875" defaultRowHeight="15" x14ac:dyDescent="0.2"/>
  <cols>
    <col min="1" max="1" width="39.14453125" customWidth="1"/>
    <col min="2" max="2" width="27.3046875" customWidth="1"/>
    <col min="3" max="3" width="17.890625" customWidth="1"/>
  </cols>
  <sheetData>
    <row r="1" spans="1:3" ht="24.75" x14ac:dyDescent="0.35">
      <c r="A1" s="127" t="s">
        <v>76</v>
      </c>
      <c r="B1" s="71">
        <v>10</v>
      </c>
      <c r="C1" s="71"/>
    </row>
    <row r="2" spans="1:3" ht="24.75" x14ac:dyDescent="0.35">
      <c r="A2" s="127" t="s">
        <v>77</v>
      </c>
      <c r="B2" s="128"/>
      <c r="C2" s="71"/>
    </row>
    <row r="3" spans="1:3" ht="24.75" x14ac:dyDescent="0.35">
      <c r="A3" s="127" t="s">
        <v>78</v>
      </c>
      <c r="B3" s="129"/>
      <c r="C3" s="71"/>
    </row>
    <row r="4" spans="1:3" ht="24.75" x14ac:dyDescent="0.35">
      <c r="A4" s="127" t="s">
        <v>79</v>
      </c>
      <c r="B4" s="129"/>
      <c r="C4" s="71"/>
    </row>
    <row r="5" spans="1:3" ht="24.75" x14ac:dyDescent="0.35">
      <c r="A5" s="127" t="s">
        <v>80</v>
      </c>
      <c r="B5" s="129"/>
      <c r="C5" s="71"/>
    </row>
    <row r="6" spans="1:3" x14ac:dyDescent="0.2">
      <c r="A6" s="71" t="s">
        <v>81</v>
      </c>
      <c r="B6" s="71" t="e">
        <f xml:space="preserve"> (B5 - B2) / B2 * 100</f>
        <v>#DIV/0!</v>
      </c>
      <c r="C6" s="71"/>
    </row>
    <row r="7" spans="1:3" x14ac:dyDescent="0.2">
      <c r="A7" s="130" t="s">
        <v>82</v>
      </c>
      <c r="B7" s="71">
        <f xml:space="preserve"> (B3 - B4) / 2</f>
        <v>0</v>
      </c>
      <c r="C7" s="71"/>
    </row>
    <row r="8" spans="1:3" ht="31.5" x14ac:dyDescent="0.45">
      <c r="A8" s="131" t="s">
        <v>83</v>
      </c>
      <c r="B8" s="132" t="e">
        <f xml:space="preserve"> B5 + ((B6 * B7) * 1.2)</f>
        <v>#DIV/0!</v>
      </c>
      <c r="C8" s="19"/>
    </row>
    <row r="9" spans="1:3" ht="31.5" x14ac:dyDescent="0.45">
      <c r="A9" s="131" t="s">
        <v>84</v>
      </c>
      <c r="B9" s="133" t="e">
        <f>IF(B8 &gt; B5, "CALL (BUY)", IF(B8 &lt; B5, "PUT (SELL)", "NO TRADE"))</f>
        <v>#DIV/0!</v>
      </c>
      <c r="C9" s="19"/>
    </row>
    <row r="10" spans="1:3" ht="31.5" x14ac:dyDescent="0.45">
      <c r="A10" s="71" t="s">
        <v>85</v>
      </c>
      <c r="B10" s="134" t="e">
        <f>IF(ABS(B8 - B5) &lt;= 0.0005, "ENTER TRADE", "WAIT")</f>
        <v>#DIV/0!</v>
      </c>
      <c r="C10" s="19"/>
    </row>
    <row r="11" spans="1:3" x14ac:dyDescent="0.2">
      <c r="A11" s="71"/>
      <c r="B11" s="19"/>
      <c r="C11" s="19"/>
    </row>
    <row r="12" spans="1:3" ht="18" x14ac:dyDescent="0.25">
      <c r="A12" s="135"/>
      <c r="B12" s="71"/>
      <c r="C12" s="71"/>
    </row>
    <row r="13" spans="1:3" ht="18" x14ac:dyDescent="0.25">
      <c r="A13" s="135"/>
      <c r="B13" s="71"/>
      <c r="C13" s="71"/>
    </row>
    <row r="14" spans="1:3" x14ac:dyDescent="0.2">
      <c r="A14" s="136" t="s">
        <v>86</v>
      </c>
      <c r="B14" s="137" t="s">
        <v>87</v>
      </c>
      <c r="C14" s="138" t="s">
        <v>88</v>
      </c>
    </row>
    <row r="15" spans="1:3" x14ac:dyDescent="0.2">
      <c r="A15" s="139">
        <v>0.35416666666666669</v>
      </c>
      <c r="B15" s="140">
        <v>6.25E-2</v>
      </c>
      <c r="C15" s="141" t="s">
        <v>89</v>
      </c>
    </row>
    <row r="16" spans="1:3" x14ac:dyDescent="0.2">
      <c r="A16" s="139">
        <v>0.36805555555555558</v>
      </c>
      <c r="B16" s="140">
        <v>4.8611111111111112E-2</v>
      </c>
      <c r="C16" s="141" t="s">
        <v>90</v>
      </c>
    </row>
    <row r="17" spans="1:3" x14ac:dyDescent="0.2">
      <c r="A17" s="139">
        <v>0.375</v>
      </c>
      <c r="B17" s="140">
        <v>4.1666666666666664E-2</v>
      </c>
      <c r="C17" s="141" t="s">
        <v>91</v>
      </c>
    </row>
    <row r="18" spans="1:3" x14ac:dyDescent="0.2">
      <c r="A18" s="142" t="s">
        <v>92</v>
      </c>
      <c r="B18" s="140">
        <v>0</v>
      </c>
      <c r="C18" s="141" t="s">
        <v>93</v>
      </c>
    </row>
    <row r="19" spans="1:3" x14ac:dyDescent="0.2">
      <c r="A19" s="122"/>
      <c r="B19" s="122"/>
      <c r="C19" s="121"/>
    </row>
    <row r="20" spans="1:3" x14ac:dyDescent="0.2">
      <c r="A20" s="122"/>
      <c r="B20" s="122"/>
      <c r="C20" s="121"/>
    </row>
    <row r="21" spans="1:3" x14ac:dyDescent="0.2">
      <c r="A21" s="122"/>
      <c r="B21" s="122"/>
      <c r="C21" s="121"/>
    </row>
    <row r="22" spans="1:3" x14ac:dyDescent="0.2">
      <c r="A22" s="121"/>
      <c r="B22" s="122"/>
      <c r="C22" s="1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034DA-7FB5-4357-98B1-997AE68D87AB}">
  <dimension ref="A1:AB38"/>
  <sheetViews>
    <sheetView workbookViewId="0">
      <selection activeCell="B2" sqref="B2"/>
    </sheetView>
  </sheetViews>
  <sheetFormatPr defaultColWidth="8.875" defaultRowHeight="15" x14ac:dyDescent="0.2"/>
  <cols>
    <col min="1" max="1" width="61.33984375" customWidth="1"/>
    <col min="2" max="2" width="38.875" customWidth="1"/>
    <col min="3" max="3" width="27.44140625" customWidth="1"/>
    <col min="4" max="4" width="34.16796875" customWidth="1"/>
    <col min="5" max="5" width="25.15234375" customWidth="1"/>
    <col min="6" max="6" width="28.3828125" customWidth="1"/>
    <col min="7" max="7" width="19.1015625" customWidth="1"/>
  </cols>
  <sheetData>
    <row r="1" spans="1:28" ht="34.5" x14ac:dyDescent="0.5">
      <c r="A1" s="151" t="s">
        <v>0</v>
      </c>
      <c r="B1" s="164"/>
      <c r="C1" s="152"/>
      <c r="D1" s="152"/>
      <c r="E1" s="152"/>
      <c r="F1" s="71"/>
      <c r="G1" s="144"/>
      <c r="H1" s="71"/>
      <c r="I1" s="71"/>
      <c r="J1" s="71"/>
      <c r="K1" s="71"/>
      <c r="L1" s="71"/>
      <c r="M1" s="71"/>
    </row>
    <row r="2" spans="1:28" ht="34.5" x14ac:dyDescent="0.5">
      <c r="A2" s="151" t="s">
        <v>2</v>
      </c>
      <c r="B2" s="164"/>
      <c r="C2" s="152"/>
      <c r="D2" s="152"/>
      <c r="E2" s="152"/>
      <c r="F2" s="71"/>
      <c r="G2" s="144"/>
      <c r="H2" s="71"/>
      <c r="I2" s="71"/>
      <c r="J2" s="71"/>
      <c r="K2" s="71"/>
      <c r="L2" s="71"/>
      <c r="M2" s="71"/>
    </row>
    <row r="3" spans="1:28" ht="34.5" x14ac:dyDescent="0.5">
      <c r="A3" s="151" t="s">
        <v>4</v>
      </c>
      <c r="B3" s="165"/>
      <c r="C3" s="152"/>
      <c r="D3" s="152"/>
      <c r="E3" s="152"/>
      <c r="F3" s="71"/>
      <c r="G3" s="144"/>
      <c r="H3" s="71"/>
      <c r="I3" s="71"/>
      <c r="J3" s="71"/>
      <c r="K3" s="71"/>
      <c r="L3" s="71"/>
      <c r="M3" s="71"/>
    </row>
    <row r="4" spans="1:28" ht="37.5" x14ac:dyDescent="0.55000000000000004">
      <c r="A4" s="153" t="s">
        <v>6</v>
      </c>
      <c r="B4" s="166" t="e">
        <f>AVERAGE(B1:B3) + ((B3 - B1) * 0.7) + ((B2 - B1) * 0.3)</f>
        <v>#DIV/0!</v>
      </c>
      <c r="C4" s="5" t="e">
        <f>IF(ABS(B4-B1)&gt;ABS(B3-B2), "STRONG", "WEAK")</f>
        <v>#DIV/0!</v>
      </c>
      <c r="D4" s="152"/>
      <c r="E4" s="152"/>
      <c r="F4" s="71"/>
      <c r="G4" s="144"/>
      <c r="H4" s="71"/>
      <c r="I4" s="71"/>
      <c r="J4" s="71"/>
      <c r="K4" s="71"/>
      <c r="L4" s="71"/>
      <c r="M4" s="71"/>
    </row>
    <row r="5" spans="1:28" ht="34.5" x14ac:dyDescent="0.5">
      <c r="A5" s="185" t="s">
        <v>94</v>
      </c>
      <c r="B5" s="165">
        <f>(B3 + B2 + B1) / 3</f>
        <v>0</v>
      </c>
      <c r="C5" s="152"/>
      <c r="D5" s="152"/>
      <c r="E5" s="152"/>
      <c r="F5" s="71"/>
      <c r="G5" s="144"/>
      <c r="H5" s="71"/>
      <c r="I5" s="71"/>
      <c r="J5" s="71"/>
      <c r="K5" s="71"/>
      <c r="L5" s="71"/>
      <c r="M5" s="71"/>
    </row>
    <row r="6" spans="1:28" ht="34.5" x14ac:dyDescent="0.5">
      <c r="A6" s="186" t="e">
        <f>IF(B4 &gt; AVERAGE(B1:B3) + (B1 - B3) * 0.25, "CONFIRMED BUY",
   IF(B4 &lt; AVERAGE(B1:B3) - (B1 - B3) * 0.25, "CONFIRMED SELL",
   IF(B4 &gt; AVERAGE(B1:B3), "CONFIRMED BUY", "CONFIRMED SELL")))</f>
        <v>#DIV/0!</v>
      </c>
      <c r="B6" s="167" t="e">
        <f>IF(B4 &gt; AVERAGE(B1:B3), "CONFIRMED BUY", IF(B4 &lt; AVERAGE(B1:B3), "CONFIRMED SELL", "CONFIRMED BUY"))</f>
        <v>#DIV/0!</v>
      </c>
      <c r="C6" s="191" t="e">
        <f>IF(AND(B4&lt;B3, B3&gt;B2), "SELL", IF(AND(B4&gt;B3, B3&lt;B2), "BUY", "NO REVERSAL"))</f>
        <v>#DIV/0!</v>
      </c>
      <c r="D6" s="156" t="e">
        <f>IF(B7=30, "BUY - ENTER NOW", IF(B7=34, "SELL - ENTER NOW", "ERROR"))</f>
        <v>#DIV/0!</v>
      </c>
      <c r="E6" s="152"/>
      <c r="F6" s="71"/>
      <c r="G6" s="144"/>
      <c r="H6" s="71"/>
      <c r="I6" s="71"/>
      <c r="J6" s="71"/>
      <c r="K6" s="71"/>
      <c r="L6" s="71"/>
      <c r="M6" s="71"/>
    </row>
    <row r="7" spans="1:28" ht="34.5" x14ac:dyDescent="0.45">
      <c r="A7" s="187" t="e">
        <f>IF(B4 &gt; AVERAGE(B1:B3), "FINAL CONFIRMED BUY", "FINAL CONFIRMED SELL")</f>
        <v>#DIV/0!</v>
      </c>
      <c r="B7" s="163" t="e">
        <f>IF(A6="CONFIRMED BUY", 30, IF(A6="CONFIRMED SELL", 34, "ERROR"))</f>
        <v>#DIV/0!</v>
      </c>
      <c r="C7" s="156" t="e">
        <f>IF(AND(ABS(B4 - B3) &gt;= 0.0000005, ABS(B3 - B2) &gt;= 0.00000035, ABS(B4 - B2) &gt;= 0.0000003, ABS(B4 - (B3+B2+B1)/3) &gt;= 0.00000028), "ENTER NOW", "WAIT")</f>
        <v>#DIV/0!</v>
      </c>
      <c r="D7" s="156" t="e">
        <f>IF(OR(D6="BUY", D6="SELL"), "ENTER NOW", "WAIT")</f>
        <v>#DIV/0!</v>
      </c>
      <c r="E7" s="152"/>
      <c r="F7" s="71"/>
      <c r="G7" s="144"/>
      <c r="H7" s="71"/>
      <c r="I7" s="71"/>
      <c r="J7" s="71"/>
      <c r="K7" s="71"/>
      <c r="L7" s="71"/>
      <c r="M7" s="71"/>
    </row>
    <row r="8" spans="1:28" ht="34.5" x14ac:dyDescent="0.5">
      <c r="A8" s="192" t="e">
        <f>IF(B4 &gt; AVERAGE(B1:B3), "CONFIRMED BUY", "CONFIRMED SELL")</f>
        <v>#DIV/0!</v>
      </c>
      <c r="B8" s="190" t="s">
        <v>95</v>
      </c>
      <c r="C8" s="152"/>
      <c r="D8" s="152"/>
      <c r="E8" s="152"/>
      <c r="F8" s="71"/>
      <c r="G8" s="144"/>
      <c r="H8" s="73"/>
      <c r="I8" s="73"/>
      <c r="J8" s="73"/>
      <c r="K8" s="73"/>
      <c r="L8" s="73"/>
      <c r="M8" s="73"/>
    </row>
    <row r="9" spans="1:28" ht="34.5" x14ac:dyDescent="0.5">
      <c r="A9" s="154" t="s">
        <v>96</v>
      </c>
      <c r="B9" s="161"/>
      <c r="C9" s="155"/>
      <c r="D9" s="155"/>
      <c r="E9" s="155"/>
      <c r="F9" s="145"/>
      <c r="G9" s="182"/>
      <c r="H9" s="145"/>
      <c r="I9" s="145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</row>
    <row r="10" spans="1:28" ht="34.5" x14ac:dyDescent="0.45">
      <c r="A10" s="148" t="s">
        <v>97</v>
      </c>
      <c r="B10" s="168" t="e">
        <f xml:space="preserve"> B4 + ((B4 - B3) * 7.3) + ((B3 - B2) * 6.5) + ((B2 - B1) * 3.2)</f>
        <v>#DIV/0!</v>
      </c>
      <c r="C10" s="145"/>
      <c r="D10" s="145"/>
      <c r="E10" s="145"/>
      <c r="F10" s="145"/>
      <c r="G10" s="182"/>
      <c r="H10" s="145"/>
      <c r="I10" s="145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</row>
    <row r="11" spans="1:28" ht="34.5" x14ac:dyDescent="0.5">
      <c r="A11" s="149" t="s">
        <v>98</v>
      </c>
      <c r="B11" s="169" t="e">
        <f xml:space="preserve"> IF(AND(B10 &gt; B4, B4 &gt; B3, B3 &gt; B2), "BUY",
     IF(AND(B10 &lt; B4, B4 &lt; B3, B3 &lt; B2), "SELL",
     IF(B10 &gt; B4, "BUY", "SELL")))</f>
        <v>#DIV/0!</v>
      </c>
      <c r="C11" s="145"/>
      <c r="D11" s="145"/>
      <c r="E11" s="145"/>
      <c r="F11" s="145"/>
      <c r="G11" s="182"/>
      <c r="H11" s="145"/>
      <c r="I11" s="145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</row>
    <row r="12" spans="1:28" ht="34.5" x14ac:dyDescent="0.5">
      <c r="A12" s="150" t="s">
        <v>99</v>
      </c>
      <c r="B12" s="169" t="e">
        <f xml:space="preserve"> IF(OR(B11="BUY", B11="SELL"), "ENTER NOW", "WAIT")</f>
        <v>#DIV/0!</v>
      </c>
      <c r="C12" s="145"/>
      <c r="D12" s="145"/>
      <c r="E12" s="145"/>
      <c r="F12" s="145"/>
      <c r="G12" s="182"/>
      <c r="H12" s="145"/>
      <c r="I12" s="145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</row>
    <row r="13" spans="1:28" ht="34.5" x14ac:dyDescent="0.5">
      <c r="A13" s="146"/>
      <c r="B13" s="170"/>
      <c r="C13" s="147"/>
      <c r="D13" s="147"/>
      <c r="E13" s="147"/>
      <c r="F13" s="147"/>
      <c r="G13" s="183"/>
      <c r="H13" s="145"/>
      <c r="I13" s="145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</row>
    <row r="14" spans="1:28" ht="37.5" x14ac:dyDescent="0.55000000000000004">
      <c r="A14" s="188"/>
      <c r="B14" s="161"/>
      <c r="C14" s="145"/>
      <c r="D14" s="145"/>
      <c r="E14" s="145"/>
      <c r="F14" s="145"/>
      <c r="G14" s="182"/>
      <c r="H14" s="145"/>
      <c r="I14" s="145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</row>
    <row r="15" spans="1:28" ht="37.5" x14ac:dyDescent="0.55000000000000004">
      <c r="A15" s="188"/>
      <c r="B15" s="189"/>
      <c r="C15" s="145"/>
      <c r="D15" s="145"/>
      <c r="E15" s="145"/>
      <c r="F15" s="145"/>
      <c r="G15" s="182"/>
      <c r="H15" s="145"/>
      <c r="I15" s="145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</row>
    <row r="16" spans="1:28" ht="37.5" x14ac:dyDescent="0.55000000000000004">
      <c r="A16" s="188"/>
      <c r="B16" s="157"/>
      <c r="C16" s="145"/>
      <c r="D16" s="145"/>
      <c r="E16" s="145"/>
      <c r="F16" s="145"/>
      <c r="G16" s="182"/>
      <c r="H16" s="145"/>
      <c r="I16" s="145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</row>
    <row r="17" spans="1:28" ht="37.5" x14ac:dyDescent="0.55000000000000004">
      <c r="A17" s="188"/>
      <c r="B17" s="157"/>
      <c r="C17" s="145"/>
      <c r="D17" s="145"/>
      <c r="E17" s="145"/>
      <c r="F17" s="145"/>
      <c r="G17" s="182"/>
      <c r="H17" s="145"/>
      <c r="I17" s="145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</row>
    <row r="18" spans="1:28" ht="37.5" x14ac:dyDescent="0.55000000000000004">
      <c r="A18" s="188"/>
      <c r="B18" s="158"/>
      <c r="C18" s="159"/>
      <c r="D18" s="145"/>
      <c r="E18" s="145"/>
      <c r="F18" s="145"/>
      <c r="G18" s="182"/>
      <c r="H18" s="145"/>
      <c r="I18" s="145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</row>
    <row r="19" spans="1:28" ht="37.5" x14ac:dyDescent="0.55000000000000004">
      <c r="A19" s="188"/>
      <c r="B19" s="157"/>
      <c r="C19" s="145"/>
      <c r="D19" s="145"/>
      <c r="E19" s="145"/>
      <c r="F19" s="145"/>
      <c r="G19" s="182"/>
      <c r="H19" s="145"/>
      <c r="I19" s="145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</row>
    <row r="20" spans="1:28" ht="21" x14ac:dyDescent="0.3">
      <c r="A20" s="157"/>
      <c r="B20" s="158"/>
      <c r="C20" s="145"/>
      <c r="D20" s="145"/>
      <c r="E20" s="145"/>
      <c r="F20" s="145"/>
      <c r="G20" s="182"/>
      <c r="H20" s="145"/>
      <c r="I20" s="145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</row>
    <row r="21" spans="1:28" ht="21" x14ac:dyDescent="0.3">
      <c r="A21" s="157"/>
      <c r="B21" s="158"/>
      <c r="C21" s="145"/>
      <c r="D21" s="145"/>
      <c r="E21" s="145"/>
      <c r="F21" s="145"/>
      <c r="G21" s="182"/>
      <c r="H21" s="145"/>
      <c r="I21" s="145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</row>
    <row r="22" spans="1:28" ht="37.5" x14ac:dyDescent="0.55000000000000004">
      <c r="A22" s="160"/>
      <c r="B22" s="161"/>
      <c r="C22" s="145"/>
      <c r="D22" s="145"/>
      <c r="E22" s="145"/>
      <c r="F22" s="145"/>
      <c r="G22" s="182"/>
      <c r="H22" s="145"/>
      <c r="I22" s="145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</row>
    <row r="23" spans="1:28" ht="16.5" x14ac:dyDescent="0.25">
      <c r="A23" s="162"/>
      <c r="B23" s="130"/>
      <c r="C23" s="71"/>
      <c r="D23" s="71"/>
      <c r="E23" s="71"/>
      <c r="F23" s="71"/>
      <c r="G23" s="144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</row>
    <row r="24" spans="1:28" x14ac:dyDescent="0.2">
      <c r="A24" s="71"/>
      <c r="B24" s="71"/>
      <c r="C24" s="71"/>
      <c r="D24" s="71"/>
      <c r="E24" s="71"/>
      <c r="F24" s="71"/>
      <c r="G24" s="144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</row>
    <row r="25" spans="1:28" x14ac:dyDescent="0.2">
      <c r="A25" s="71"/>
      <c r="B25" s="71"/>
      <c r="C25" s="71"/>
      <c r="D25" s="71"/>
      <c r="E25" s="71"/>
      <c r="F25" s="71"/>
      <c r="G25" s="144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</row>
    <row r="26" spans="1:28" x14ac:dyDescent="0.2">
      <c r="A26" s="71"/>
      <c r="B26" s="71"/>
      <c r="C26" s="71"/>
      <c r="D26" s="71"/>
      <c r="E26" s="71"/>
      <c r="F26" s="71"/>
      <c r="G26" s="144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</row>
    <row r="27" spans="1:28" x14ac:dyDescent="0.2">
      <c r="A27" s="71"/>
      <c r="B27" s="71"/>
      <c r="C27" s="71"/>
      <c r="D27" s="71"/>
      <c r="E27" s="71"/>
      <c r="F27" s="71"/>
      <c r="G27" s="144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</row>
    <row r="28" spans="1:28" x14ac:dyDescent="0.2">
      <c r="A28" s="71"/>
      <c r="B28" s="71"/>
      <c r="C28" s="71"/>
      <c r="D28" s="71"/>
      <c r="E28" s="71"/>
      <c r="F28" s="71"/>
      <c r="G28" s="144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</row>
    <row r="29" spans="1:28" x14ac:dyDescent="0.2">
      <c r="A29" s="71"/>
      <c r="B29" s="71"/>
      <c r="C29" s="71"/>
      <c r="D29" s="71"/>
      <c r="E29" s="71"/>
      <c r="F29" s="71"/>
      <c r="G29" s="144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</row>
    <row r="30" spans="1:28" x14ac:dyDescent="0.2">
      <c r="A30" s="71"/>
      <c r="B30" s="71"/>
      <c r="C30" s="71"/>
      <c r="D30" s="71"/>
      <c r="E30" s="71"/>
      <c r="F30" s="71"/>
      <c r="G30" s="144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</row>
    <row r="31" spans="1:28" x14ac:dyDescent="0.2">
      <c r="A31" s="71"/>
      <c r="B31" s="71"/>
      <c r="C31" s="71"/>
      <c r="D31" s="71"/>
      <c r="E31" s="71"/>
      <c r="F31" s="71"/>
      <c r="G31" s="144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</row>
    <row r="32" spans="1:28" x14ac:dyDescent="0.2">
      <c r="A32" s="71"/>
      <c r="B32" s="71"/>
      <c r="C32" s="71"/>
      <c r="D32" s="71"/>
      <c r="E32" s="71"/>
      <c r="F32" s="71"/>
      <c r="G32" s="144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</row>
    <row r="33" spans="1:28" x14ac:dyDescent="0.2">
      <c r="A33" s="71"/>
      <c r="B33" s="71"/>
      <c r="C33" s="71"/>
      <c r="D33" s="71"/>
      <c r="E33" s="71"/>
      <c r="F33" s="71"/>
      <c r="G33" s="144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</row>
    <row r="34" spans="1:28" x14ac:dyDescent="0.2">
      <c r="A34" s="71"/>
      <c r="B34" s="71"/>
      <c r="C34" s="71"/>
      <c r="D34" s="71"/>
      <c r="E34" s="71"/>
      <c r="F34" s="71"/>
      <c r="G34" s="144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</row>
    <row r="35" spans="1:28" x14ac:dyDescent="0.2">
      <c r="A35" s="71"/>
      <c r="B35" s="71"/>
      <c r="C35" s="71"/>
      <c r="D35" s="71"/>
      <c r="E35" s="71"/>
      <c r="F35" s="71"/>
      <c r="G35" s="71"/>
      <c r="H35" s="184"/>
      <c r="I35" s="184"/>
      <c r="J35" s="184"/>
      <c r="K35" s="184"/>
    </row>
    <row r="36" spans="1:28" x14ac:dyDescent="0.2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</row>
    <row r="37" spans="1:28" x14ac:dyDescent="0.2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</row>
    <row r="38" spans="1:28" x14ac:dyDescent="0.2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64E4-ED67-4D5F-818D-1D571E8921CE}">
  <dimension ref="A1:AG63"/>
  <sheetViews>
    <sheetView workbookViewId="0">
      <selection activeCell="B28" sqref="B28"/>
    </sheetView>
  </sheetViews>
  <sheetFormatPr defaultColWidth="8.875" defaultRowHeight="15" x14ac:dyDescent="0.2"/>
  <cols>
    <col min="1" max="1" width="40.22265625" customWidth="1"/>
    <col min="2" max="2" width="35.109375" bestFit="1" customWidth="1"/>
    <col min="3" max="3" width="20.4453125" customWidth="1"/>
    <col min="4" max="4" width="20.984375" customWidth="1"/>
    <col min="5" max="5" width="22.8671875" customWidth="1"/>
    <col min="6" max="6" width="19.7734375" customWidth="1"/>
    <col min="7" max="7" width="16.6796875" customWidth="1"/>
    <col min="8" max="8" width="18.16015625" customWidth="1"/>
  </cols>
  <sheetData>
    <row r="1" spans="1:33" ht="24.75" x14ac:dyDescent="0.35">
      <c r="A1" s="172" t="s">
        <v>100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</row>
    <row r="2" spans="1:33" ht="27" x14ac:dyDescent="0.4">
      <c r="A2" s="172" t="s">
        <v>77</v>
      </c>
      <c r="B2" s="176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</row>
    <row r="3" spans="1:33" ht="27" x14ac:dyDescent="0.4">
      <c r="A3" s="172" t="s">
        <v>101</v>
      </c>
      <c r="B3" s="176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</row>
    <row r="4" spans="1:33" ht="27" x14ac:dyDescent="0.4">
      <c r="A4" s="172" t="s">
        <v>102</v>
      </c>
      <c r="B4" s="176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 spans="1:33" ht="27" x14ac:dyDescent="0.4">
      <c r="A5" s="172" t="s">
        <v>103</v>
      </c>
      <c r="B5" s="176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</row>
    <row r="6" spans="1:33" ht="27" x14ac:dyDescent="0.4">
      <c r="A6" s="171" t="s">
        <v>104</v>
      </c>
      <c r="B6" s="177" t="e">
        <f>ABS(B5-B2)/(B4-B3)</f>
        <v>#DIV/0!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</row>
    <row r="7" spans="1:33" ht="27" x14ac:dyDescent="0.4">
      <c r="A7" s="171" t="s">
        <v>105</v>
      </c>
      <c r="B7" s="177" t="e">
        <f>(B4-B3)/B3</f>
        <v>#DIV/0!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</row>
    <row r="8" spans="1:33" ht="27" x14ac:dyDescent="0.4">
      <c r="A8" s="171" t="s">
        <v>106</v>
      </c>
      <c r="B8" s="177" t="e">
        <f>(B5-B2)/(B4-B3)</f>
        <v>#DIV/0!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</row>
    <row r="9" spans="1:33" ht="27" x14ac:dyDescent="0.4">
      <c r="A9" s="171"/>
      <c r="B9" s="177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</row>
    <row r="10" spans="1:33" ht="27" x14ac:dyDescent="0.4">
      <c r="A10" s="173" t="s">
        <v>107</v>
      </c>
      <c r="B10" s="178" t="e">
        <f>B2+((B5-B2)*(1+(B7*0.75)))</f>
        <v>#DIV/0!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</row>
    <row r="11" spans="1:33" ht="27" x14ac:dyDescent="0.4">
      <c r="A11" s="174" t="s">
        <v>108</v>
      </c>
      <c r="B11" s="179" t="e">
        <f>"Last " &amp; IF(AND(B7&gt;0.02, B8&gt;0.6), "40 seconds", IF(AND(B7&lt;0.02, B8&lt;0.4), "35 seconds", "30 seconds"))</f>
        <v>#DIV/0!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</row>
    <row r="12" spans="1:33" ht="27" x14ac:dyDescent="0.4">
      <c r="A12" s="175" t="s">
        <v>109</v>
      </c>
      <c r="B12" s="180" t="str">
        <f>IF(B9&gt;B5,"BUY","SELL")</f>
        <v>SELL</v>
      </c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</row>
    <row r="13" spans="1:33" ht="27" x14ac:dyDescent="0.4">
      <c r="A13" s="181" t="s">
        <v>110</v>
      </c>
      <c r="B13" s="181" t="e">
        <f>IF(AND(ABS(B8) &gt; 0.5, B6 &gt; 0.6, B7 &lt; 0.015, OR(B5 &gt; B2, B5 &lt; B4)), "STRONG TRADE", "AVOID TRADE")</f>
        <v>#DIV/0!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</row>
    <row r="14" spans="1:33" x14ac:dyDescent="0.2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spans="1:33" x14ac:dyDescent="0.2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</row>
    <row r="16" spans="1:33" x14ac:dyDescent="0.2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</row>
    <row r="17" spans="1:33" x14ac:dyDescent="0.2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 spans="1:33" x14ac:dyDescent="0.2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</row>
    <row r="19" spans="1:33" x14ac:dyDescent="0.2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</row>
    <row r="20" spans="1:33" x14ac:dyDescent="0.2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 spans="1:33" x14ac:dyDescent="0.2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</row>
    <row r="22" spans="1:33" x14ac:dyDescent="0.2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 spans="1:33" x14ac:dyDescent="0.2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 spans="1:33" x14ac:dyDescent="0.2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</row>
    <row r="25" spans="1:33" x14ac:dyDescent="0.2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</row>
    <row r="26" spans="1:33" x14ac:dyDescent="0.2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</row>
    <row r="27" spans="1:33" x14ac:dyDescent="0.2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</row>
    <row r="28" spans="1:33" x14ac:dyDescent="0.2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spans="1:33" x14ac:dyDescent="0.2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</row>
    <row r="30" spans="1:33" x14ac:dyDescent="0.2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</row>
    <row r="31" spans="1:33" x14ac:dyDescent="0.2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</row>
    <row r="32" spans="1:33" x14ac:dyDescent="0.2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</row>
    <row r="33" spans="1:33" x14ac:dyDescent="0.2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</row>
    <row r="34" spans="1:33" x14ac:dyDescent="0.2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</row>
    <row r="35" spans="1:33" x14ac:dyDescent="0.2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</row>
    <row r="36" spans="1:33" x14ac:dyDescent="0.2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</row>
    <row r="37" spans="1:33" x14ac:dyDescent="0.2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</row>
    <row r="38" spans="1:33" x14ac:dyDescent="0.2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</row>
    <row r="39" spans="1:33" x14ac:dyDescent="0.2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</row>
    <row r="40" spans="1:33" x14ac:dyDescent="0.2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</row>
    <row r="41" spans="1:33" x14ac:dyDescent="0.2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</row>
    <row r="42" spans="1:33" x14ac:dyDescent="0.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</row>
    <row r="43" spans="1:33" x14ac:dyDescent="0.2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</row>
    <row r="44" spans="1:33" x14ac:dyDescent="0.2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</row>
    <row r="45" spans="1:33" x14ac:dyDescent="0.2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</row>
    <row r="46" spans="1:33" x14ac:dyDescent="0.2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</row>
    <row r="47" spans="1:33" x14ac:dyDescent="0.2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</row>
    <row r="48" spans="1:33" x14ac:dyDescent="0.2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</row>
    <row r="49" spans="1:33" x14ac:dyDescent="0.2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</row>
    <row r="50" spans="1:33" x14ac:dyDescent="0.2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</row>
    <row r="51" spans="1:33" x14ac:dyDescent="0.2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</row>
    <row r="52" spans="1:33" x14ac:dyDescent="0.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</row>
    <row r="53" spans="1:33" x14ac:dyDescent="0.2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</row>
    <row r="54" spans="1:33" x14ac:dyDescent="0.2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</row>
    <row r="55" spans="1:33" x14ac:dyDescent="0.2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</row>
    <row r="56" spans="1:33" x14ac:dyDescent="0.2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</row>
    <row r="57" spans="1:33" x14ac:dyDescent="0.2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</row>
    <row r="58" spans="1:33" x14ac:dyDescent="0.2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</row>
    <row r="59" spans="1:33" x14ac:dyDescent="0.2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</row>
    <row r="60" spans="1:33" x14ac:dyDescent="0.2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</row>
    <row r="61" spans="1:33" x14ac:dyDescent="0.2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</row>
    <row r="62" spans="1:33" x14ac:dyDescent="0.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</row>
    <row r="63" spans="1:33" x14ac:dyDescent="0.2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4D52-8DEF-9B48-A977-99D997E21C8D}">
  <dimension ref="A1"/>
  <sheetViews>
    <sheetView zoomScaleNormal="100" zoomScaleSheetLayoutView="100" workbookViewId="0"/>
  </sheetViews>
  <sheetFormatPr defaultColWidth="8.875" defaultRowHeight="1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7BC2-EF03-4436-A5D6-9033CACF43B4}">
  <dimension ref="A1:D20"/>
  <sheetViews>
    <sheetView workbookViewId="0">
      <selection activeCell="A7" sqref="A7"/>
    </sheetView>
  </sheetViews>
  <sheetFormatPr defaultColWidth="8.875" defaultRowHeight="15" x14ac:dyDescent="0.2"/>
  <cols>
    <col min="1" max="1" width="58.11328125" customWidth="1"/>
    <col min="2" max="2" width="47.484375" customWidth="1"/>
    <col min="3" max="3" width="51.38671875" customWidth="1"/>
    <col min="4" max="4" width="64.43359375" customWidth="1"/>
    <col min="5" max="5" width="22.46484375" customWidth="1"/>
    <col min="6" max="6" width="27.84375" customWidth="1"/>
    <col min="7" max="7" width="38.203125" customWidth="1"/>
  </cols>
  <sheetData>
    <row r="1" spans="1:4" ht="34.5" x14ac:dyDescent="0.5">
      <c r="A1" s="230" t="s">
        <v>0</v>
      </c>
      <c r="B1" s="228"/>
      <c r="C1" s="205" t="s">
        <v>1</v>
      </c>
      <c r="D1" s="225"/>
    </row>
    <row r="2" spans="1:4" ht="34.5" x14ac:dyDescent="0.5">
      <c r="A2" s="230" t="s">
        <v>2</v>
      </c>
      <c r="B2" s="227"/>
      <c r="C2" s="205" t="s">
        <v>3</v>
      </c>
      <c r="D2" s="226"/>
    </row>
    <row r="3" spans="1:4" ht="34.5" x14ac:dyDescent="0.5">
      <c r="A3" s="230" t="s">
        <v>4</v>
      </c>
      <c r="B3" s="229"/>
      <c r="C3" s="205" t="s">
        <v>5</v>
      </c>
      <c r="D3" s="227"/>
    </row>
    <row r="4" spans="1:4" ht="37.5" x14ac:dyDescent="0.55000000000000004">
      <c r="A4" s="153" t="s">
        <v>6</v>
      </c>
      <c r="B4" s="211">
        <f>(B1*0.15 + B2*0.15 + B3*0.2 + D1*0.2 + D2*0.15 + D3*0.15)</f>
        <v>0</v>
      </c>
      <c r="C4" s="212" t="s">
        <v>111</v>
      </c>
      <c r="D4" s="210"/>
    </row>
    <row r="5" spans="1:4" ht="34.5" x14ac:dyDescent="0.5">
      <c r="A5" s="185" t="s">
        <v>94</v>
      </c>
      <c r="B5" s="165">
        <f>(B3 + B2 +B1) / 3</f>
        <v>0</v>
      </c>
      <c r="C5" s="198" t="str">
        <f>IF(AND(D1 &gt; D2, D2 &gt; D3, B1 &gt; B2, B2 &gt; B3), "SELL",
   IF(AND(D1 &lt; D2, D2 &lt; D3, B1 &lt; B2, B2 &lt; B3), "BUY",
   IF(AND(D1 &gt; D2, B1 &gt; B2), "SELL",
   IF(AND(D1 &lt; D2, B1 &lt; B2), "BUY", "SELL"))))</f>
        <v>SELL</v>
      </c>
      <c r="D5" s="198" t="str">
        <f>IF(AND(D1 &gt; D2, D2 &gt; D3, B1 &gt; B2, B2 &gt; B3), "SELL",
   IF(AND(D1 &lt; D2, D2 &lt; D3, B1 &lt; B2, B2 &lt; B3), "BUY",
   IF(AND(D1 &gt; D2, B1 &gt; B2), "SELL",
   IF(AND(D1 &lt; D2, B1 &lt; B2), "BUY", "SELL"))))</f>
        <v>SELL</v>
      </c>
    </row>
    <row r="6" spans="1:4" ht="34.5" x14ac:dyDescent="0.5">
      <c r="A6" s="195" t="str">
        <f>IF(AND(D1 &gt; D2, D2 &gt; D3, B1 &gt; B2, B2 &gt; B3, ABS(D1-D3) &gt; 0.00015, ABS(B1-B3) &gt; 0.00015), "SELL STRONG",
   IF(AND(D1 &lt; D2, D2 &lt; D3, B1 &lt; B2, B2 &lt; B3, ABS(D1-D3) &gt; 0.00015, ABS(B1-B3) &gt; 0.00015), "BUY STRONG",
   IF(AND(D1 &gt; D2, B1 &gt; B2), "SELL STRONG",
   IF(AND(D1 &lt; D2, B1 &lt; B2), "BUY STRONG", "SELL STRONG"))))</f>
        <v>SELL STRONG</v>
      </c>
      <c r="B6" s="193" t="str">
        <f>IF(AND(D2 &gt; D1, D3 &gt; D2, B3 &gt; B2, B2 &gt; B1), "BUY", "SELL")</f>
        <v>SELL</v>
      </c>
      <c r="C6" s="199" t="str">
        <f>IF(AND(D1 &gt; D2, D2 &gt; D3, B1 &gt; B2, B2 &gt; B3), "SELL",
IF(AND(D1 &lt; D2, D2 &lt; D3, B1 &lt; B2, B2 &lt; B3), "BUY",
IF(AND(D1 &gt; D2, B1 &gt; B2), "SELL", "BUY")))</f>
        <v>BUY</v>
      </c>
      <c r="D6" s="200" t="str">
        <f>IF(AND(D1 &gt; D2, D2 &gt; D3, B1 &gt; B2, B2 &gt; B3), "SELL",
   IF(AND(D1 &lt; D2, D2 &lt; D3, B1 &lt; B2, B2 &lt; B3), "BUY",
   IF(AND(D1 &gt; D2, B1 &gt; B2), "SELL",
   IF(AND(D1 &lt; D2, B1 &lt; B2), "BUY", "SELL"))))</f>
        <v>SELL</v>
      </c>
    </row>
    <row r="7" spans="1:4" ht="47.25" x14ac:dyDescent="0.2">
      <c r="A7" s="194" t="str">
        <f>IF(AND(D1 &gt; D2, D2 &gt; D3, B1 &gt; B2, B2 &gt; B3), "SELL",
   IF(AND(D1 &lt; D2, D2 &lt; D3, B1 &lt; B2, B2 &lt; B3), "BUY",
   IF(AND(D1 &gt; D2, B1 &gt; B2), "SELL",
   IF(AND(D1 &lt; D2, B1 &lt; B2), "BUY", "SELL"))))</f>
        <v>SELL</v>
      </c>
      <c r="B7" s="197" t="str">
        <f>IF(ABS(D1 - D3) &gt; ABS(B1 - B3)*1.3, "HIGH VOLATILITY", "STABLE")</f>
        <v>STABLE</v>
      </c>
      <c r="C7" s="201" t="str">
        <f>IF(AND(ABS(D1-D3) &gt; 0.0001, ABS(B1-B3) &gt; 0.0001, D1 &gt; D2, B1 &gt; B2), "SELL at 14s Exp: 22s",
IF(AND(ABS(D1-D3) &gt; 0.0001, ABS(B1-B3) &gt; 0.0001, D1 &lt; D2, B1 &lt; B2), "BUY at 10s Exp: 20s",
IF(AND(ABS(D1-D3) &lt;= 0.0001, ABS(B1-B3) &lt;= 0.0001, D1 &gt; D2, B1 &gt; B2), "SELL at 16s Exp: 24s",
"BUY at 8s Exp: 20s")))</f>
        <v>BUY at 8s Exp: 20s</v>
      </c>
      <c r="D7" s="198" t="str">
        <f>IF(AND(D2 &gt; D1, D3 &gt; D2, B3 &gt; B2, B2 &gt; B1, D1-D2 &gt; D2-D3, B1-B2 &gt; B2-B3), "BUY CONFIRMED",
   IF(AND(D2 &lt; D1, D3 &lt; D2, B3 &lt; B2, B2 &lt; B1, D1-D2 &lt; D2-D3, B1-B2 &lt; B2-B3), "SELL CONFIRMED", "SELL CONFIRMED"))</f>
        <v>SELL CONFIRMED</v>
      </c>
    </row>
    <row r="8" spans="1:4" ht="37.5" x14ac:dyDescent="0.2">
      <c r="A8" s="206" t="str">
        <f>IF(AND(D2 &gt; D1, D3 &gt; D2, B3 &gt; B2, B2 &gt; B1), "BUY STRONG", "SELL STRONG")</f>
        <v>SELL STRONG</v>
      </c>
      <c r="B8" s="196" t="str">
        <f>IF(ABS(B4 - B3) &gt; 0.00015, "TRADE CONFIRMED", "TRADE OK")</f>
        <v>TRADE OK</v>
      </c>
      <c r="C8" s="207" t="str">
        <f>IF(AND(D1 &gt; D2, D2 &gt; D3, B1 &gt; B2, B2 &gt; B3), "SELL at 14s",
   IF(AND(D1 &lt; D2, D2 &lt; D3, B1 &lt; B2, B2 &lt; B3), "BUY at 10s",
   IF(AND(D1 &gt; D2, B1 &gt; B2), "SELL at 16s",
   IF(AND(D1 &lt; D2, B1 &lt; B2), "BUY at 8s", "SELL at 14s"))))</f>
        <v>SELL at 14s</v>
      </c>
      <c r="D8" s="202" t="str">
        <f>IF(AND(D1 &gt; D2, D2 &gt; D3, B1 &gt; B2, B2 &gt; B3, ABS(D1-D3) &gt; 0.00015, ABS(B1-B3) &gt; 0.00015), "SELL",
   IF(AND(D1 &lt; D2, D2 &lt; D3, B1 &lt; B2, B2 &lt; B3, ABS(D1-D3) &gt; 0.00015, ABS(B1-B3) &gt; 0.00015), "BUY", "SELL"))</f>
        <v>SELL</v>
      </c>
    </row>
    <row r="9" spans="1:4" ht="47.25" x14ac:dyDescent="0.5">
      <c r="A9" s="215"/>
      <c r="B9" s="216"/>
      <c r="C9" s="217" t="s">
        <v>112</v>
      </c>
      <c r="D9" s="203" t="str">
        <f>IF(AND(A6="SELL", C6="SELL", D6="SELL"), "SELL",
IF(AND(A6="BUY", C6="BUY", D6="BUY"), "BUY",
IF(A6="SELL", "SELL", "BUY")))</f>
        <v>BUY</v>
      </c>
    </row>
    <row r="10" spans="1:4" ht="34.5" x14ac:dyDescent="0.5">
      <c r="A10" s="215"/>
      <c r="B10" s="218"/>
      <c r="C10" s="71"/>
      <c r="D10" s="145"/>
    </row>
    <row r="11" spans="1:4" ht="34.5" x14ac:dyDescent="0.5">
      <c r="A11" s="208" t="s">
        <v>113</v>
      </c>
      <c r="B11" s="71"/>
      <c r="C11" s="71"/>
      <c r="D11" s="71"/>
    </row>
    <row r="12" spans="1:4" ht="34.5" x14ac:dyDescent="0.5">
      <c r="A12" s="209" t="s">
        <v>114</v>
      </c>
      <c r="B12" s="2" t="str">
        <f>IF(AND(D1 &gt; D2, D2 &gt; D3, B1 &gt; B2, B2 &gt; B3, ABS(D1-D3) &gt; 0.00018, ABS(B1-B3) &gt; 0.00018), "SELL at 14s Exp: 24s",
   IF(AND(D1 &lt; D2, D2 &lt; D3, B1 &lt; B2, B2 &lt; B3, ABS(D1-D3) &gt; 0.00018, ABS(B1-B3) &gt; 0.00018), "BUY at 10s Exp: 20s",
   IF(AND(D1 &gt; D2, B1 &gt; B2, ABS(D1-D3) &lt; 0.00018), "SELL at 16s Exp: 24s",
   "BUY at 8s Exp: 20s")))</f>
        <v>BUY at 8s Exp: 20s</v>
      </c>
      <c r="C12" s="71"/>
      <c r="D12" s="71"/>
    </row>
    <row r="13" spans="1:4" ht="34.5" x14ac:dyDescent="0.5">
      <c r="A13" s="209" t="s">
        <v>115</v>
      </c>
      <c r="B13" s="2" t="str">
        <f>IF(AND(D1 &gt; D2, D2 &gt; D3, B1 &gt; B2, B2 &gt; B3, (D1-D2) &gt; (D2-D3), (B1-B2) &gt; (B2-B3)), "SELL CONFIRMED",
   IF(AND(D1 &lt; D2, D2 &lt; D3, B1 &lt; B2, B2 &lt; B3, (D2-D3) &gt; (D1-D2), (B2-B3) &gt; (B1-B2)), "BUY CONFIRMED",
   IF(AND(D1 &gt; D2, B1 &gt; B2), "SELL",
   "BUY")))</f>
        <v>BUY</v>
      </c>
      <c r="C13" s="71"/>
      <c r="D13" s="71"/>
    </row>
    <row r="14" spans="1:4" x14ac:dyDescent="0.2">
      <c r="A14" s="71"/>
      <c r="B14" s="71"/>
      <c r="C14" s="71"/>
      <c r="D14" s="71"/>
    </row>
    <row r="15" spans="1:4" ht="69" x14ac:dyDescent="0.55000000000000004">
      <c r="A15" s="214" t="s">
        <v>116</v>
      </c>
      <c r="B15" s="71"/>
      <c r="C15" s="144"/>
      <c r="D15" s="71"/>
    </row>
    <row r="16" spans="1:4" x14ac:dyDescent="0.2">
      <c r="A16" s="71"/>
      <c r="B16" s="71"/>
      <c r="C16" s="204"/>
      <c r="D16" s="71"/>
    </row>
    <row r="17" spans="1:4" ht="37.5" x14ac:dyDescent="0.55000000000000004">
      <c r="A17" s="213" t="s">
        <v>115</v>
      </c>
      <c r="B17" s="165" t="str">
        <f>IF(AND(D1 &gt; D2, D2 &gt; D3, B1 &gt; B2, B2 &gt; B3), "SELL",
IF(AND(D1 &lt; D2, D2 &lt; D3, B1 &lt; B2, B2 &lt; B3), "BUY",
IF(AND(D1 &gt; D2, B1 &gt; B2), "SELL", "BUY")))</f>
        <v>BUY</v>
      </c>
      <c r="C17" s="221" t="str">
        <f>IF(AND(D1 &gt; D2, D2 &gt; D3, B1 &gt; B2, B2 &gt; B3), "SELL",
IF(AND(D1 &lt; D2, D2 &lt; D3, B1 &lt; B2, B2 &lt; B3), "BUY",
IF(AND(D1 &gt; D2, B1 &gt; B2), "SELL",
IF(AND(D1 &lt; D2, B1 &lt; B2), "BUY", "SELL"))))</f>
        <v>SELL</v>
      </c>
      <c r="D17" s="208"/>
    </row>
    <row r="18" spans="1:4" ht="37.5" x14ac:dyDescent="0.55000000000000004">
      <c r="A18" s="219" t="s">
        <v>114</v>
      </c>
      <c r="B18" s="222" t="str">
        <f>IF(A7="SELL", "SELL", "BUY")</f>
        <v>SELL</v>
      </c>
      <c r="C18" s="223" t="str">
        <f>IF(A7="CONFIRM SELL", "SELL",
IF(A7="CONFIRM BUY", "BUY", "WAIT"))</f>
        <v>WAIT</v>
      </c>
      <c r="D18" s="73"/>
    </row>
    <row r="19" spans="1:4" ht="34.5" x14ac:dyDescent="0.5">
      <c r="B19" s="224" t="str">
        <f>IF(AND(D1 &gt; D2, D2 &gt; D3, B1 &gt; B2, B2 &gt; B3), "SELL at 12s Exp: 24s",
   IF(AND(D1 &lt; D2, D2 &lt; D3, B1 &lt; B2, B2 &lt; B3), "BUY at 10s Exp: 20s",
   IF(AND(D1 &gt; D2, B1 &gt; B2), "SELL at 14s Exp: 22s",
   IF(AND(D1 &lt; D2, B1 &lt; B2), "BUY at 8s Exp: 20s", "SELL at 12s Exp: 24s"))))</f>
        <v>SELL at 12s Exp: 24s</v>
      </c>
      <c r="C19" s="224" t="str">
        <f>IF(A7="CONFIRM SELL", "SELL",
IF(A7="CONFIRM BUY", "BUY", "WAIT"))</f>
        <v>WAIT</v>
      </c>
      <c r="D19" s="220"/>
    </row>
    <row r="20" spans="1:4" ht="34.5" x14ac:dyDescent="0.5">
      <c r="B20" s="224" t="str">
        <f>IF(AND(D1 &gt; D2, D2 &gt; D3, B1 &gt; B2, B2 &gt; B3), "SELL at 12s Exp: 24s",
   IF(AND(D1 &lt; D2, D2 &lt; D3, B1 &lt; B2, B2 &lt; B3), "BUY at 10s Exp: 20s",
   IF(AND(D1 &gt; D2, B1 &gt; B2), "SELL at 14s Exp: 22s",
   IF(AND(D1 &lt; D2, B1 &lt; B2), "BUY at 8s Exp: 20s", "SELL at 12s Exp: 24s"))))</f>
        <v>SELL at 12s Exp: 24s</v>
      </c>
      <c r="C20" s="220"/>
      <c r="D20" s="22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ED1F-D946-4278-97D2-12C1ED37D71F}">
  <dimension ref="A1:D20"/>
  <sheetViews>
    <sheetView zoomScaleNormal="100" zoomScaleSheetLayoutView="100" workbookViewId="0">
      <selection activeCell="D17" sqref="D17"/>
    </sheetView>
  </sheetViews>
  <sheetFormatPr defaultColWidth="8.875" defaultRowHeight="15" x14ac:dyDescent="0.2"/>
  <cols>
    <col min="1" max="1" width="46.9453125" customWidth="1"/>
    <col min="2" max="2" width="71.16015625" customWidth="1"/>
    <col min="3" max="3" width="57.9765625" customWidth="1"/>
    <col min="4" max="4" width="46.00390625" customWidth="1"/>
    <col min="5" max="5" width="21.38671875" customWidth="1"/>
    <col min="6" max="6" width="23.13671875" customWidth="1"/>
    <col min="7" max="7" width="30.265625" customWidth="1"/>
    <col min="8" max="8" width="0" hidden="1" customWidth="1"/>
    <col min="36" max="36" width="29.45703125" customWidth="1"/>
  </cols>
  <sheetData>
    <row r="1" spans="1:4" ht="31.5" x14ac:dyDescent="0.45">
      <c r="A1" s="233" t="s">
        <v>0</v>
      </c>
      <c r="B1" s="296">
        <v>0.57350000000000001</v>
      </c>
      <c r="C1" s="234" t="s">
        <v>1</v>
      </c>
      <c r="D1" s="299">
        <v>0.57345999999999997</v>
      </c>
    </row>
    <row r="2" spans="1:4" ht="31.5" x14ac:dyDescent="0.45">
      <c r="A2" s="233" t="s">
        <v>2</v>
      </c>
      <c r="B2" s="297">
        <v>0.57355999999999996</v>
      </c>
      <c r="C2" s="234" t="s">
        <v>3</v>
      </c>
      <c r="D2" s="297">
        <v>0.57340999999999998</v>
      </c>
    </row>
    <row r="3" spans="1:4" ht="31.5" x14ac:dyDescent="0.45">
      <c r="A3" s="233" t="s">
        <v>4</v>
      </c>
      <c r="B3" s="298">
        <v>0.57347000000000004</v>
      </c>
      <c r="C3" s="234" t="s">
        <v>5</v>
      </c>
      <c r="D3" s="298">
        <v>0.57330000000000003</v>
      </c>
    </row>
    <row r="4" spans="1:4" ht="21" x14ac:dyDescent="0.3">
      <c r="A4" s="236" t="s">
        <v>6</v>
      </c>
      <c r="B4" s="292">
        <f>IF(
   AND(ISNUMBER(B1), ISNUMBER(B2), ISNUMBER(B3), ISNUMBER(D1), ISNUMBER(D2), ISNUMBER(D3)),
   AVERAGE(B1:B3, D1:D3),
   "CHECK VALUES"
)</f>
        <v>0.57345000000000002</v>
      </c>
      <c r="C4" s="291" t="str">
        <f>IF(AND(C9="HIGH", B4 &gt; B3, B3 &gt; B2, B2 &gt; B1, D3 &gt; D2, D2 &gt; D1), "BUY",
IF(AND(C9="LOW", B4 &lt; B3, B3 &lt; B2, B2 &lt; B1, D3 &lt; D2, D2 &lt; D1), "SELL",
IF(AND(C9="STABLE", ABS(B4-B3) &lt; 0.0001, ABS(D3-D2) &lt; 0.0001), "BUY",
IF(AND(C9="STABLE", B4 &gt; B3, D3 &gt; D2), "BUY", "SELL"))))</f>
        <v>SELL</v>
      </c>
      <c r="D4" s="283"/>
    </row>
    <row r="5" spans="1:4" ht="21" x14ac:dyDescent="0.3">
      <c r="A5" s="239" t="str">
        <f>IF(AND(D1 &gt; D2, D2 &gt; D3, B1 &gt; B2, B2 &gt; B3, ABS(D1-D3) &gt; 0.00015, ABS(B1-B3) &gt; 0.00015), "SELL STRONG",
   IF(AND(D1 &lt; D2, D2 &lt; D3, B1 &lt; B2, B2 &lt; B3, ABS(D1-D3) &gt; 0.00015, ABS(B1-B3) &gt; 0.00015), "BUY STRONG",
   IF(AND(D1 &gt; D2, B1 &gt; B2), "SELL STRONG",
   IF(AND(D1 &lt; D2, B1 &lt; B2), "BUY STRONG", "SELL STRONG"))))</f>
        <v>SELL STRONG</v>
      </c>
      <c r="B5" s="240" t="str">
        <f>IF(
   AND(ISNUMBER(B4), ISNUMBER(B3), ISNUMBER(B2), ISNUMBER(B1),
       ISNUMBER(D3), ISNUMBER(D2), ISNUMBER(D1),
       B4 &gt; B3, B3 &gt; B2, B2 &gt; B1, D3 &gt; D2, D2 &gt; D1),
   "BUY",
   "SELL"
)</f>
        <v>SELL</v>
      </c>
      <c r="C5" s="238" t="str">
        <f>IF(
    AND(B4 &gt; B3, B3 &gt; B2, B2 &gt; B1, D3 &gt; D2, D2 &gt; D1),
    IF(C9 = "HIGH", "BUY", IF(C9 = "LOW", "SELL", "BUY")),
    IF(
        AND(B4 &lt; B3, B3 &lt; B2, B2 &lt; B1, D3 &lt; D2, D2 &lt; D1),
        IF(C9 = "HIGH", "SELL", IF(C9 = "LOW", "BUY", "SELL")),
        IF(C9 = "HIGH", "BUY", "SELL")
    )
)</f>
        <v>SELL</v>
      </c>
      <c r="D5" s="238" t="str">
        <f>IF(AND(D1 &gt; D2, D2 &gt; D3, B1 &gt; B2, B2 &gt; B3), "SELL",
   IF(AND(D1 &lt; D2, D2 &lt; D3, B1 &lt; B2, B2 &lt; B3), "BUY",
   IF(AND(D1 &gt; D2, B1 &gt; B2), "SELL",
   IF(AND(D1 &lt; D2, B1 &lt; B2), "BUY", "SELL"))))</f>
        <v>SELL</v>
      </c>
    </row>
    <row r="6" spans="1:4" ht="27" x14ac:dyDescent="0.2">
      <c r="A6" s="242" t="str">
        <f>IF(AND(D1 &gt; D2, D2 &gt; D3, B1 &gt; B2, B2 &gt; B3), "SELL",
   IF(AND(D1 &lt; D2, D2 &lt; D3, B1 &lt; B2, B2 &lt; B3), "BUY",
   IF(AND(D1 &gt; D2, B1 &gt; B2), "SELL",
   IF(AND(D1 &lt; D2, B1 &lt; B2), "BUY", "SELL"))))</f>
        <v>SELL</v>
      </c>
      <c r="B6" s="243" t="str">
        <f>IF(ABS(D1 - D3) &gt; ABS(B1 - B3)*1.3, "HIGH VOLATILITY", "STABLE")</f>
        <v>HIGH VOLATILITY</v>
      </c>
      <c r="C6" s="286" t="str">
        <f>IF(
   AND(ISNUMBER(B4), ISNUMBER(D3), ABS(B4 - D3) &gt; 0.00015),
   IF(ABS(B4 - D3) &gt; 0.0003, "Enter at 12s, Expire at 24s", "Enter at 9s, Expire at 18s"),
   "Enter at 8s, Expire at 16s"
)</f>
        <v>Enter at 8s, Expire at 16s</v>
      </c>
      <c r="D6" s="238" t="str">
        <f>IF(AND(D2 &gt; D1, D3 &gt; D2, B3 &gt; B2, B2 &gt; B1, D1-D2 &gt; D2-D3, B1-B2 &gt; B2-B3), "BUY CONFIRMED",
   IF(AND(D2 &lt; D1, D3 &lt; D2, B3 &lt; B2, B2 &lt; B1, D1-D2 &lt; D2-D3, B1-B2 &lt; B2-B3), "SELL CONFIRMED", "SELL CONFIRMED"))</f>
        <v>SELL CONFIRMED</v>
      </c>
    </row>
    <row r="7" spans="1:4" ht="27" x14ac:dyDescent="0.2">
      <c r="A7" s="244" t="str">
        <f>IF(AND(D2 &gt; D1, D3 &gt; D2, B3 &gt; B2, B2 &gt; B1), "BUY STRONG", "SELL STRONG")</f>
        <v>SELL STRONG</v>
      </c>
      <c r="B7" s="245" t="str">
        <f>IF(ABS(B4 - B3) &gt; 0.00015, "TRADE CONFIRMED", "TRADE OK")</f>
        <v>TRADE OK</v>
      </c>
      <c r="C7" s="287" t="str">
        <f>IF(
    AND(B4 &gt; B3, B3 &gt; B2, B2 &gt; B1, D3 &gt; D2, D2 &gt; D1),
    IF(
        AND(C9="HIGH", ABS(B4-B1)&gt;0.0002, ABS(D3-D1)&gt;0.0002),
        "BUY at 10s Exp: 20s",
        IF(
            AND(C9="LOW", ABS(B4-B1)&gt;0.0001, ABS(D3-D1)&gt;0.0001),
            "SELL at 12s Exp: 24s",
            "BUY at 8s Exp: 20s"
        )
    ),
    IF(
        AND(B4 &lt; B3, B3 &lt; B2, B2 &lt; B1, D3 &lt; D2, D2 &lt; D1),
        IF(
            AND(C9="HIGH", ABS(B4-B1)&gt;0.0002, ABS(D3-D1)&gt;0.0002),
            "SELL at 12s Exp: 24s",
            IF(
                AND(C9="LOW", ABS(B4-B1)&gt;0.0001, ABS(D3-D1)&gt;0.0001),
                "BUY at 10s Exp: 20s",
                "SELL at 14s Exp: 28s"
            )
        ),
        IF(
            AND(C9="HIGH", ABS(B4-B1)&gt;0.0002, ABS(D3-D1)&gt;0.0002),
            "BUY at 8s Exp: 20s",
            "SELL at 12s Exp: 24s"
        )
    )
)</f>
        <v>SELL at 12s Exp: 24s</v>
      </c>
      <c r="D7" s="246" t="str">
        <f>IF(AND(D1 &gt; D2, D2 &gt; D3, B1 &gt; B2, B2 &gt; B3, ABS(D1-D3) &gt; 0.00015, ABS(B1-B3) &gt; 0.00015), "SELL",
   IF(AND(D1 &lt; D2, D2 &lt; D3, B1 &lt; B2, B2 &lt; B3, ABS(D1-D3) &gt; 0.00015, ABS(B1-B3) &gt; 0.00015), "BUY", "SELL"))</f>
        <v>SELL</v>
      </c>
    </row>
    <row r="8" spans="1:4" ht="37.5" x14ac:dyDescent="0.55000000000000004">
      <c r="A8" s="281"/>
      <c r="B8" s="293"/>
      <c r="C8" s="295" t="str">
        <f>IF(
   AND(ISNUMBER(B4), ISNUMBER(B3), ISNUMBER(B2), ISNUMBER(B1),
       ISNUMBER(D3), ISNUMBER(D2), ISNUMBER(D1),
       B4 &gt; B3, B3 &gt; B2, B2 &gt; B1, D3 &gt; D2, D2 &gt; D1),
   "BUY",
   "SELL"
)</f>
        <v>SELL</v>
      </c>
      <c r="D8" s="282"/>
    </row>
    <row r="9" spans="1:4" ht="21" x14ac:dyDescent="0.3">
      <c r="C9" s="247" t="str">
        <f>IF(AND(ABS(B1-B3) &lt; 0.0004, ABS(D1-D3) &lt; 0.0004), "LOW",
   IF(AND(ABS(B1-B3) &gt;= 0.0004, ABS(B1-B3) &lt; 0.001, ABS(D1-D3) &gt;= 0.0004, ABS(D1-D3) &lt; 0.001), "MEDIUM",
   IF(AND(ABS(B1-B3) &gt;= 0.001, ABS(D1-D3) &gt;= 0.001), "HIGH", "LOW")))</f>
        <v>LOW</v>
      </c>
      <c r="D9" s="248"/>
    </row>
    <row r="10" spans="1:4" ht="21" x14ac:dyDescent="0.3">
      <c r="A10" s="256" t="s">
        <v>7</v>
      </c>
      <c r="B10" s="260" t="s">
        <v>8</v>
      </c>
      <c r="C10" s="263" t="s">
        <v>9</v>
      </c>
      <c r="D10" s="300" t="s">
        <v>10</v>
      </c>
    </row>
    <row r="11" spans="1:4" ht="21" x14ac:dyDescent="0.3">
      <c r="A11" s="254" t="str">
        <f>IF(ABS(B4 - D3) &gt; 0.0003, "Enter at 10s, Expire at 20s", "Enter at 8s, Expire at 16s")</f>
        <v>Enter at 8s, Expire at 16s</v>
      </c>
      <c r="B11" s="262" t="str">
        <f>IF(ABS(B4 - D3) &gt; 0.00028, "Enter at 12s, Expire at 24s", "Enter at 9s, Expire at 18s")</f>
        <v>Enter at 9s, Expire at 18s</v>
      </c>
      <c r="C11" s="278" t="str">
        <f>IF(ABS(B4 - D3) &gt; 0.00028, "Enter at 11s, Expire at 22s", "Enter at 7s, Expire at 14s")</f>
        <v>Enter at 7s, Expire at 14s</v>
      </c>
      <c r="D11" s="270" t="str">
        <f>IF(ABS(B4 - D3) &gt; 0.00032, "Enter at 14s, Expire at 28s", "Enter at 10s, Expire at 20s")</f>
        <v>Enter at 10s, Expire at 20s</v>
      </c>
    </row>
    <row r="12" spans="1:4" ht="21" x14ac:dyDescent="0.3">
      <c r="A12" s="254" t="str">
        <f>IF(
   AND(B4 &gt; B3, B3 &gt; B2, B2 &gt; B1, D3 &gt; D2, D2 &gt; D1, ABS(B4 - B1) &gt; 0.0002),
   "BUY",
   "SELL"
)</f>
        <v>SELL</v>
      </c>
      <c r="B12" s="253" t="str">
        <f>IF(
   AND(B4 &gt; B3, B3 &gt; B2, D3 &gt; D2, D2 &gt; D1, ABS(B4 - B2) &lt; 0.00035),
   "BUY",
   "SELL"
)</f>
        <v>SELL</v>
      </c>
      <c r="C12" s="264" t="str">
        <f>IF(
   AND(B4 &gt; B3, B3 &gt; B2, D3 &gt; D2, D2 &gt; D1, ABS(B4 - B1) &gt; 0.00025),
   "BUY",
   "SELL"
)</f>
        <v>SELL</v>
      </c>
      <c r="D12" s="270" t="str">
        <f>IF(
   AND(B4 &gt; B3, B3 &gt; B2, D3 &gt; D2, D2 &gt; D1, ABS(B4 - B3) &lt; 0.00035),
   "BUY",
   "SELL"
)</f>
        <v>SELL</v>
      </c>
    </row>
    <row r="13" spans="1:4" ht="21" x14ac:dyDescent="0.3">
      <c r="A13" s="265"/>
      <c r="B13" s="266"/>
      <c r="C13" s="267"/>
      <c r="D13" s="268"/>
    </row>
    <row r="14" spans="1:4" ht="21" x14ac:dyDescent="0.3">
      <c r="A14" s="276" t="s">
        <v>11</v>
      </c>
      <c r="B14" s="271" t="s">
        <v>12</v>
      </c>
      <c r="C14" s="273" t="s">
        <v>13</v>
      </c>
      <c r="D14" s="274" t="s">
        <v>14</v>
      </c>
    </row>
    <row r="15" spans="1:4" ht="21" x14ac:dyDescent="0.3">
      <c r="A15" s="261" t="str">
        <f>IF(ABS(B4 - D3) &gt; 0.00025, "Enter at 8s, Expire at 20s", "Enter at 8s, Expire at 16s")</f>
        <v>Enter at 8s, Expire at 16s</v>
      </c>
      <c r="B15" s="272" t="str">
        <f>IF(
   ABS(B4 - D3) &gt; 0.00028,
   "Enter at 8s, Expire at 20s",
   "Enter at 9s, Expire at 18s"
)</f>
        <v>Enter at 9s, Expire at 18s</v>
      </c>
      <c r="C15" s="264" t="str">
        <f>IF(ABS(B4 - D3) &gt; 0.00025, "Enter at 8s, Expire at 20s", "Enter at 8s, Expire at 16s")</f>
        <v>Enter at 8s, Expire at 16s</v>
      </c>
      <c r="D15" s="275" t="str">
        <f>IF(ABS(B4 - D3) &gt; 0.0003, "Enter at 14s, Expire at 28s", "Enter at 10s, Expire at 20s")</f>
        <v>Enter at 10s, Expire at 20s</v>
      </c>
    </row>
    <row r="16" spans="1:4" ht="21" x14ac:dyDescent="0.3">
      <c r="A16" s="277" t="str">
        <f>IF(
   AND(B4 &gt; B3, B3 &gt; B2, D3 &gt; D2, D2 &gt; D1, ABS(B4 - B1) &gt; 0.0002),
   "BUY",
   "SELL"
)</f>
        <v>SELL</v>
      </c>
      <c r="B16" s="272" t="str">
        <f>IF(
   AND(B4 &gt; B3, B3 &gt; B2, D3 &gt; D2, D2 &gt; D1, ABS(B4 - B2) &gt; 0.00025, ABS(B4 - B1) &lt; 0.0004),
   "BUY",
   "SELL"
)</f>
        <v>SELL</v>
      </c>
      <c r="C16" s="264" t="str">
        <f>IF(
   AND(B4 &gt; B3, B3 &gt; B2, D3 &gt; D2, D2 &gt; D1, ABS(B4 - B2) &gt; 0.0002),
   "BUY",
   "SELL"
)</f>
        <v>SELL</v>
      </c>
      <c r="D16" s="294" t="str">
        <f>IF(
   AND(B4 &lt; B3, B3 &lt; B2, D3 &lt; D2, D2 &lt; D1, ABS(B4 - B3) &gt; 0.0003),
   "SELL",
   "BUY"
)</f>
        <v>BUY</v>
      </c>
    </row>
    <row r="17" spans="1:4" ht="21" x14ac:dyDescent="0.3">
      <c r="A17" s="279"/>
      <c r="B17" s="279"/>
      <c r="C17" s="235"/>
      <c r="D17" s="235"/>
    </row>
    <row r="18" spans="1:4" ht="47.25" x14ac:dyDescent="0.7">
      <c r="A18" s="285" t="s">
        <v>117</v>
      </c>
      <c r="B18" s="290" t="str">
        <f>IF(
   AND(ISNUMBER(B4), ISNUMBER(D3)),
   IF(ABS(B4 - D3) &gt; 0.0003, "Enter at 12s, Expire at 24s", "Enter at 8s, Expire at 16s"),
   "Enter at 8s, Expire at 16s"
)</f>
        <v>Enter at 8s, Expire at 16s</v>
      </c>
      <c r="C18" s="22" t="str">
        <f>IF(
   AND(B4 &gt; B3, B3 &gt; B2, D3 &gt; D2, D2 &gt; D1, ABS(B4 - B2) &gt; 0.0002, ABS(B4 - B1) &lt; 0.0004),
   "BUY",
   "SELL"
)</f>
        <v>SELL</v>
      </c>
      <c r="D18" s="235"/>
    </row>
    <row r="19" spans="1:4" ht="70.5" x14ac:dyDescent="0.9">
      <c r="A19" s="301" t="s">
        <v>98</v>
      </c>
      <c r="B19" s="289" t="str">
        <f>IF(
   AND(ISNUMBER(B4), ISNUMBER(B3), ISNUMBER(B2), ISNUMBER(B1),
       ISNUMBER(D3), ISNUMBER(D2), ISNUMBER(D1),
       B4 &gt; B3, B3 &gt; B2, B2 &gt; B1, D3 &gt; D2, D2 &gt; D1),
   "BUY",
   "SELL"
)</f>
        <v>SELL</v>
      </c>
      <c r="C19" s="302" t="str">
        <f>IF(
   OR(A1 &gt;= 92%, A1 = 92%),
   "PAYOUT STABLE - Trade Allowed",
   IF(
      AND(A1 &lt; 92%, A1 &gt;= 80%),
      "MEDIUM PAYOUT - Trade with Caution",
      IF(A1 &lt; 80%,
         "LOW PAYOUT - Avoid Trading",
         "PAYOUT STABLE - Trade Allowed"
)
)
)</f>
        <v>PAYOUT STABLE - Trade Allowed</v>
      </c>
      <c r="D19" s="288"/>
    </row>
    <row r="20" spans="1:4" ht="31.5" x14ac:dyDescent="0.3">
      <c r="A20" s="251"/>
      <c r="B20" s="23" t="str">
        <f>IF(
   AND(ABS(B4 - B3) &lt;= 0.0005, ABS(D3 - D2) &lt;= 0.0005, C9="HIGH"),
   "STABLE - Safe to Enter",
   IF(
      AND(ABS(B4 - B3) &gt; 0.0005, ABS(D3 - D2) &gt; 0.0005, C9="HIGH"),
      "VOLATILE - Be Cautious",
      IF(
         AND(ABS(B4 - B3) &lt;= 0.0003, ABS(D3 - D2) &lt;= 0.0003, C9="LOW"),
         "STABLE - Safe to Enter",
         IF(
            AND(ABS(B4 - B3) &gt; 0.0003, ABS(D3 - D2) &gt; 0.0003, C9="LOW"),
            "VOLATILE - Be Cautious",
            "STABLE - Safe to Enter"
         )
      )
   )
)</f>
        <v>STABLE - Safe to Enter</v>
      </c>
      <c r="C20" s="235"/>
      <c r="D20" s="23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EACA-39A0-45CD-AC64-9D000EA0D1B6}">
  <dimension ref="A1:AD49"/>
  <sheetViews>
    <sheetView zoomScale="65" zoomScaleNormal="150" zoomScaleSheetLayoutView="100" workbookViewId="0">
      <selection activeCell="A10" sqref="A10"/>
    </sheetView>
  </sheetViews>
  <sheetFormatPr defaultColWidth="8.875" defaultRowHeight="15" x14ac:dyDescent="0.2"/>
  <cols>
    <col min="1" max="1" width="78.6953125" customWidth="1"/>
    <col min="2" max="2" width="82.19140625" customWidth="1"/>
    <col min="3" max="3" width="80.0390625" customWidth="1"/>
    <col min="4" max="4" width="80.4453125" customWidth="1"/>
    <col min="5" max="5" width="73.98828125" customWidth="1"/>
    <col min="6" max="6" width="54.48046875" customWidth="1"/>
    <col min="7" max="7" width="21.5234375" customWidth="1"/>
  </cols>
  <sheetData>
    <row r="1" spans="1:30" ht="61.5" x14ac:dyDescent="0.7">
      <c r="A1" s="209" t="s">
        <v>0</v>
      </c>
      <c r="B1" s="361">
        <v>1.0844199999999999</v>
      </c>
      <c r="C1" s="209" t="s">
        <v>1</v>
      </c>
      <c r="D1" s="361">
        <v>1.08392</v>
      </c>
      <c r="E1" s="373">
        <f>(D3-D2)+(D2-D1)</f>
        <v>8.0000000000080007E-5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</row>
    <row r="2" spans="1:30" ht="62.25" x14ac:dyDescent="0.9">
      <c r="A2" s="209" t="s">
        <v>2</v>
      </c>
      <c r="B2" s="361">
        <v>1.0840700000000001</v>
      </c>
      <c r="C2" s="209" t="s">
        <v>3</v>
      </c>
      <c r="D2" s="361">
        <v>1.0840099999999999</v>
      </c>
      <c r="E2" s="102">
        <f>AVERAGE(ABS(D3-D2),ABS(D2-D1))</f>
        <v>4.9999999999883471E-5</v>
      </c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</row>
    <row r="3" spans="1:30" ht="62.25" x14ac:dyDescent="0.9">
      <c r="A3" s="209" t="s">
        <v>4</v>
      </c>
      <c r="B3" s="361">
        <v>1.08399</v>
      </c>
      <c r="C3" s="209" t="s">
        <v>118</v>
      </c>
      <c r="D3" s="362">
        <v>1.0840000000000001</v>
      </c>
      <c r="E3" s="102">
        <f>(IF(D3&gt;D2,D3-D2,0)+IF(D2&gt;D1,D2-D1,0))/2</f>
        <v>4.4999999999961737E-5</v>
      </c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</row>
    <row r="4" spans="1:30" ht="62.25" x14ac:dyDescent="0.9">
      <c r="A4" s="336" t="s">
        <v>6</v>
      </c>
      <c r="B4" s="363">
        <f>IF(
  AND(ISNUMBER(B1), ISNUMBER(B2), ISNUMBER(B3), ISNUMBER(D1), ISNUMBER(D2), ISNUMBER(D3)),
  (B1*1 + B2*1.5 + B3*2 + D1*1 + D2*1.2 + D3*1.2) / 7.9,
  "CHECK VALUES"
)</f>
        <v>1.0840553164556963</v>
      </c>
      <c r="C4" s="363"/>
      <c r="D4" s="370"/>
      <c r="E4" s="102">
        <f>(IF(D3&lt;D2,ABS(D3-D2),0)+IF(D2&lt;D1,ABS(D2-D1),0))/2</f>
        <v>4.9999999999217337E-6</v>
      </c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</row>
    <row r="5" spans="1:30" ht="62.25" x14ac:dyDescent="0.9">
      <c r="A5" s="332"/>
      <c r="B5" s="333"/>
      <c r="C5" s="334"/>
      <c r="D5" s="371" t="str">
        <f>IF(
    AND(
        E1&gt;=E2*E9,
        D3&gt;B4,
        D3&gt;MAX(B1,B2,B3),
        E5&lt;65,
        AVERAGE(D3,D2,D1)&gt;AVERAGE(B1,B2,B3),
        D3&gt;(AVERAGE(B1:B3)+0.5*_xlfn.STDEV.P(B1:B3)),
        E6&gt;0.2,
        E8&lt;2,
        E10&gt;0.03,
        E11&gt;0.4,
        E12&gt;0.8
    ),
    "HARD BUY (NIRANKAR'S BLESSED)",
    IF(
        AND(
            E1&lt;=E2*E9*-1,
            D3&lt;B4,
            D3&lt;MIN(B1,B2,B3),
            E5&gt;35,
            AVERAGE(D3,D2,D1)&lt;AVERAGE(B1,B2,B3),
            D3&lt;(AVERAGE(B1:B3)-0.5*_xlfn.STDEV.P(B1:B3)),
            E6&gt;0.2,
            E8&lt;1.5,
            E10&lt;-0.15,
            E11&lt;-0.5,
            E12&gt;0.8
        ),
        "HARD SELL (NIRANKAR'S PROTECTED)",
        IF(
            AND(
                E1&gt;=E2*E9*0.5,
                D3&gt;B4,
                AVERAGE(D3,D2,D1)&gt;AVERAGE(B1,B2,B3),
                D3&gt;(AVERAGE(B1:B3)-0.5*_xlfn.STDEV.P(B1:B3)),
                E7&gt;0.15,
                E7&lt;6,
                E8&lt;1.8,
                E10&gt;0.02,
                E11&gt;0.3,
                E12&gt;0.7
            ),
            "SOFT BUY (DIVINE SIGNAL)",
            IF(
                AND(
                    E1&lt;=E2*E9*-0.5,
                    D3&lt;B4,
                    AVERAGE(D3,D2,D1)&lt;AVERAGE(B1,B2,B3),
                    D3&lt;(AVERAGE(B1:B3)+0.5*_xlfn.STDEV.P(B1:B3)),
                    E7&gt;0.15,
                    E7&lt;6,
                    E8&lt;1.3,
                    E10&lt;-0.1,
                    E11&lt;-0.4,
                    E12&gt;0.7
                ),
                "SOFT SELL (DIVINE GUIDANCE)",
                IF(
                    AND(
                        D3&gt;=B4-0.00003,
                        E8&lt;1.2,
                        E10&gt;=-0.005,
                        E11&gt;0.1,
                        E12&gt;0.6
                    ),
                    "WEAK BUY (CAUTION)",
                    "WEAK SELL (ALERT)"
                )
            )
        )
    )
)</f>
        <v>WEAK SELL (ALERT)</v>
      </c>
      <c r="E5" s="102">
        <f>100-(100/(1+E3/MAX(0.0001,E4)))</f>
        <v>31.034482758602493</v>
      </c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</row>
    <row r="6" spans="1:30" ht="62.25" x14ac:dyDescent="0.9">
      <c r="A6" s="358"/>
      <c r="B6" s="360"/>
      <c r="C6" s="358"/>
      <c r="D6" s="335"/>
      <c r="E6" s="102">
        <f>ABS(D3-D2)/MAX(0.0001,E2)</f>
        <v>9.9999999998434674E-2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</row>
    <row r="7" spans="1:30" ht="62.25" x14ac:dyDescent="0.9">
      <c r="A7" s="358"/>
      <c r="B7" s="358">
        <f>IF(B6="BUY", 11, IF(B6="SELL", 10, 10))</f>
        <v>10</v>
      </c>
      <c r="C7" s="358"/>
      <c r="D7" s="335"/>
      <c r="E7" s="102">
        <f>ABS(D3-D2)/MAX(0.0001,ABS(D2-D1))</f>
        <v>9.9999999998434674E-2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</row>
    <row r="8" spans="1:30" ht="88.5" x14ac:dyDescent="0.7">
      <c r="A8" s="360" t="s">
        <v>119</v>
      </c>
      <c r="B8" s="359">
        <f>MIN(10,B7)</f>
        <v>10</v>
      </c>
      <c r="C8" s="358"/>
      <c r="D8" s="360" t="s">
        <v>120</v>
      </c>
      <c r="E8" s="372">
        <f>ABS((D3-B4)-E1)/MAX(0.0001,_xlfn.STDEV.P(D3,D2,D1))</f>
        <v>1.3531645569631046</v>
      </c>
      <c r="F8" s="71" t="str" cm="1">
        <f t="array" ref="F8">_xlfn.IFS(AND(ISNUMBER(B1),ISNUMBER(B2),ISNUMBER(B3),ISNUMBER(D1),ISNUMBER(D2),ISNUMBER(D3),B4&lt;&gt;0,B3&gt;D2,B3&gt;AVERAGE(B1,B2,B3)*1.002,D2&gt;D1,D2&gt;AVERAGE(D1,D2,D3)*1.002,ABS(B3-B2)/AVERAGE(B1,B2,B3)&gt;IFERROR(AVERAGE(ABS(B2-B1)/B1,ABS(B3-B2)/B2)*1.3,0.0006),ABS(D2-D1)/AVERAGE(D1,D2,D3)&gt;IFERROR(AVERAGE(ABS(D2-D1)/D1,ABS(D3-D2)/D2)*1.4,0.0006),B3&gt;AVERAGE(B1,B2,B3,D1,D2,D3)+IFERROR(_xlfn.STDEV.S(B1,B2,B3,D1,D2,D3)*0.9,0.00015),D2&gt;AVERAGE(B1,B2,B3,D1,D2,D3)+IFERROR(_xlfn.STDEV.S(B1,B2,B3,D1,D2,D3)*0.9,0.00015),(B3-B2)/AVERAGE(B1,B2,B3)&gt;(B2-B1)/AVERAGE(B1,B2,B3),IFERROR(MAX(ABS(B1-B4),ABS(B2-B4),ABS(B3-B4),ABS(D1-B4),ABS(D2-B4),ABS(D3-B4))/B4&gt;0.00025,TRUE)),"Buy",AND(ISNUMBER(B1),ISNUMBER(B2),ISNUMBER(B3),ISNUMBER(D1),ISNUMBER(D2),ISNUMBER(D3),B4&lt;&gt;0,B3&lt;D2,B3&lt;AVERAGE(B1,B2,B3)*0.998,D2&lt;D1,D2&lt;AVERAGE(D1,D2,D3)*0.998,ABS(B3-B2)/AVERAGE(B1,B2,B3)&gt;IFERROR(AVERAGE(ABS(B2-B1)/B1,ABS(B3-B2)/B2)*1.3,0.0006),ABS(D1-D2)/AVERAGE(D1,D2,D3)&gt;IFERROR(AVERAGE(ABS(D2-D1)/D1,ABS(D3-D2)/D2)*1.4,0.0006),B3&lt;AVERAGE(B1,B2,B3,D1,D2,D3)-IFERROR(_xlfn.STDEV.S(B1,B2,B3,D1,D2,D3)*0.9,0.00015),D2&lt;AVERAGE(B1,B2,B3,D1,D2,D3)-IFERROR(_xlfn.STDEV.S(B1,B2,B3,D1,D2,D3)*0.9,0.00015),(B2-B3)/AVERAGE(B1,B2,B3)&gt;(B1-B2)/AVERAGE(B1,B2,B3),IFERROR(MAX(ABS(B1-B4),ABS(B2-B4),ABS(B3-B4),ABS(D1-B4),ABS(D2-B4),ABS(D3-B4))/B4&gt;0.00025,TRUE)),"Sell",AND(ISNUMBER(B1),ISNUMBER(B2),ISNUMBER(B3),ISNUMBER(D1),ISNUMBER(D2),ISNUMBER(D3),B4&lt;&gt;0,B3&gt;B2,B2&lt;B1,D2&gt;D1,D2&gt;AVERAGE(D1,D2,D3)*1.002,ABS(B3-B2)/AVERAGE(B1,B2,B3)&gt;IFERROR(AVERAGE(ABS(B2-B1)/B1,ABS(B3-B2)/B2)*2,0.0012),ABS(D2-D1)/AVERAGE(D1,D2,D3)&gt;IFERROR(AVERAGE(ABS(D2-D1)/D1,ABS(D3-D2)/D2)*2,0.0012),B3&gt;AVERAGE(B1,B2,B3,D1,D2,D3)+IFERROR(_xlfn.STDEV.S(B1,B2,B3,D1,D2,D3)*1.3,0.0002),D2&gt;AVERAGE(B1,B2,B3,D1,D2,D3)+IFERROR(_xlfn.STDEV.S(B1,B2,B3,D1,D2,D3)*1.3,0.0002),(B3-B2)/AVERAGE(B1,B2,B3)&gt;0.0015,IFERROR(MAX(ABS(B1-B4),ABS(B2-B4),ABS(B3-B4),ABS(D1-B4),ABS(D2-B4),ABS(D3-B4))/B4&gt;0.00025,TRUE)),"Buy",AND(ISNUMBER(B1),ISNUMBER(B2),ISNUMBER(B3),ISNUMBER(D1),ISNUMBER(D2),ISNUMBER(D3),B4&lt;&gt;0,B3&lt;B2,B2&gt;B1,D2&lt;D1,D2&lt;AVERAGE(D1,D2,D3)*0.998,ABS(B2-B3)/AVERAGE(B1,B2,B3)&gt;IFERROR(AVERAGE(ABS(B2-B1)/B1,ABS(B3-B2)/B2)*2,0.0012),ABS(D1-D2)/AVERAGE(D1,D2,D3)&gt;IFERROR(AVERAGE(ABS(D2-D1)/D1,ABS(D3-D2)/D2)*2,0.0012),B3&lt;AVERAGE(B1,B2,B3,D1,D2,D3)-IFERROR(_xlfn.STDEV.S(B1,B2,B3,D1,D2,D3)*1.3,0.0002),D2&lt;AVERAGE(B1,B2,B3,D1,D2,D3)-IFERROR(_xlfn.STDEV.S(B1,B2,B3,D1,D2,D3)*1.3,0.0002),(B2-B3)/AVERAGE(B1,B2,B3)&gt;0.0015,IFERROR(MAX(ABS(B1-B4),ABS(B2-B4),ABS(B3-B4),ABS(D1-B4),ABS(D2-B4),ABS(D3-B4))/B4&gt;0.00025,TRUE)),"Sell",AND(ISNUMBER(B1),ISNUMBER(B2),ISNUMBER(B3),ISNUMBER(D1),ISNUMBER(D2),ISNUMBER(D3),B4&lt;&gt;0,B3&gt;AVERAGE(B1,B2,B3,D1,D2,D3)+IFERROR(_xlfn.STDEV.S(B1,B2,B3,D1,D2,D3)*1.1,0.00015),D2&gt;AVERAGE(B1,B2,B3,D1,D2,D3)+IFERROR(_xlfn.STDEV.S(B1,B2,B3,D1,D2,D3)*1.1,0.00015),(B3-B2)/AVERAGE(B1,B2,B3)&gt;0.0008),"Buy",AND(ISNUMBER(B1),ISNUMBER(B2),ISNUMBER(B3),ISNUMBER(D1),ISNUMBER(D2),ISNUMBER(D3),B4&lt;&gt;0,B3&lt;AVERAGE(B1,B2,B3,D1,D2,D3)-IFERROR(_xlfn.STDEV.S(B1,B2,B3,D1,D2,D3)*1.1,0.00015),D2&lt;AVERAGE(B1,B2,B3,D1,D2,D3)-IFERROR(_xlfn.STDEV.S(B1,B2,B3,D1,D2,D3)*1.1,0.00015),(B2-B3)/AVERAGE(B1,B2,B3)&gt;0.0008),"Sell",AND(ISNUMBER(B1),ISNUMBER(B2),ISNUMBER(B3),ISNUMBER(D1),ISNUMBER(D2),ISNUMBER(D3),B4&lt;&gt;0,B3&gt;B2,D2&gt;D1),"Buy",TRUE,"Sell")</f>
        <v>Sell</v>
      </c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</row>
    <row r="9" spans="1:30" ht="62.25" x14ac:dyDescent="0.9">
      <c r="A9" s="369" t="str">
        <f>IF(
   (
     (B4 - B3)*1.5 +
     (B4 - B2)*1.2 +
     (B4 - B1)*0.9 +
     (B4 - D1)*1.1 +
     (B4 - D2)*1.4 +
     (B4 - D3)*1
) &gt; 0,
   "BUY",
   "SELL"
)</f>
        <v>BUY</v>
      </c>
      <c r="B9" s="336"/>
      <c r="C9" s="335"/>
      <c r="D9" s="368" t="str">
        <f>IF(
  AND(
    D1&lt;D2, D2&lt;D3,
    B1&gt;B2, B2&gt;B3,
    B4&gt;=B3,
    B4&gt;=AVERAGE(B1:B3)*0.999,
    B4&gt;=D1
),
  "BUY",
  IF(
    AND(
      D1&gt;D2, D2&gt;D3,
      B1&lt;B2, B2&lt;B3,
      B4&lt;=B3,
      B4&lt;=AVERAGE(B1:B3)*1.001,
      B4&lt;=D1
),
    "SELL",
    IF(B4&gt;AVERAGE(B1:B3), "BUY", "SELL")
)
)</f>
        <v>SELL</v>
      </c>
      <c r="E9" s="102">
        <f>AVERAGE(ABS(B1-B2),ABS(B2-B3))*1.5</f>
        <v>3.2249999999994783E-4</v>
      </c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</row>
    <row r="10" spans="1:30" ht="47.25" x14ac:dyDescent="0.7">
      <c r="A10" s="347" t="s">
        <v>121</v>
      </c>
      <c r="B10" s="347" t="s">
        <v>122</v>
      </c>
      <c r="C10" s="347" t="s">
        <v>123</v>
      </c>
      <c r="D10" s="347" t="s">
        <v>124</v>
      </c>
      <c r="E10" s="368">
        <f>(D3-AVERAGE(B1:B3))/MAX(0.0001,_xlfn.STDEV.P(B1:B3))</f>
        <v>-0.85686966419327726</v>
      </c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</row>
    <row r="11" spans="1:30" ht="47.25" x14ac:dyDescent="0.7">
      <c r="A11" s="351" t="str">
        <f>IF(
   ( (B4-B3) + (B4-B2)*0.7 + (B4-B1)*0.5 + (B4-D1)*0.4 + (B4-D2)*0.4 + (B4-D3)*0.4) &gt; 0,
   "BUY",
   "SELL"
)</f>
        <v>SELL</v>
      </c>
      <c r="B11" s="351" t="str">
        <f>IF(
  AND(
    D1&lt;D2, D2&lt;D3,
    B3&lt;B2, B1&gt;B3,
    ABS(B1-B2)&lt;=ABS(B2-B3)*1.5
  ),
  "BUY",
  IF(
    AND(
      D1&gt;D2, D2&gt;D3,
      B3&gt;B2, B1&lt;B3,
      ABS(B1-B2)&lt;=ABS(B2-B3)*1.5
    ),
    "SELL",
    IF(
      AND(
        B4&lt;B3, B3&lt;B2, B2&lt;B1,
        D1&lt;D2, D2&lt;D3
      ),
      "BUY",
      IF(
        AND(
          B4&gt;B3, B3&gt;B2, B2&gt;B1,
          D1&gt;D2, D2&gt;D3
        ),
        "SELL",
        "BUY"
      )
    )
  )
)</f>
        <v>BUY</v>
      </c>
      <c r="C11" s="351" t="str">
        <f>IF(
   OR(
      B1&gt;D3,
      AND(D3&gt;D2,D2&gt;D1),
      AND(B1&gt;B2,B2&gt;B3)
),
   "BUY",
   "SELL"
)</f>
        <v>BUY</v>
      </c>
      <c r="D11" s="351" t="str">
        <f>IF(
  AND(
    D2&lt;D3,
    B4&lt;D3,
    B4&lt;MIN(B2,B3),
    B4&lt;AVERAGE(B2,B3)
),
  "SELL",
  IF(
    AND(
      D2&gt;D3,
      B4&gt;D3,
      B4&gt;MAX(B2,B3),
      B4&gt;AVERAGE(B2,B3)
),
    "BUY",
    IF(
      B4&gt;AVERAGE(D1:D3),
      "BUY",
      "SELL"
)
)
)</f>
        <v>BUY</v>
      </c>
      <c r="E11" s="351">
        <f>(D3-D2)/MAX(0.0001,AVERAGE(ABS(B1-B2),ABS(B2-B3),ABS(D2-D1)))</f>
        <v>-5.7692307691420829E-2</v>
      </c>
      <c r="F11" s="130" t="str">
        <f>IF(
   OR(
      B1&gt;D3,
      AND(D3&gt;D2,D2&gt;D1),
      AND(B1&gt;B2,B2&gt;B3)
),
   "BUY",
   "SELL"
)</f>
        <v>BUY</v>
      </c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</row>
    <row r="12" spans="1:30" ht="47.25" x14ac:dyDescent="0.7">
      <c r="A12" s="350">
        <f>IF(B6="BUY", IF(B4-B1&gt;0.0004, 10, 12), IF(B1-B4&gt;0.0004, 10, 12))</f>
        <v>12</v>
      </c>
      <c r="B12" s="350" t="str">
        <f>IF(
  AND(
    ABS(B1-B2)&lt;=ABS(B2-B3)*1.2,
    ABS(D3-D2)&lt;=ABS(D2-D1)*1.2
),
  "10s",
  "12s"
)</f>
        <v>12s</v>
      </c>
      <c r="C12" s="350">
        <f>IF(B6="BUY", IF(B3-B1&gt;0.0003, 10, 12), IF(B1-B3&gt;0.0003, 10, 12))</f>
        <v>10</v>
      </c>
      <c r="D12" s="350" t="s">
        <v>125</v>
      </c>
      <c r="E12" s="350">
        <f>MIN(1,ABS(E10)*E6/MAX(0.0001,E8))</f>
        <v>6.332338958854565E-2</v>
      </c>
      <c r="F12" s="329" t="s">
        <v>126</v>
      </c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</row>
    <row r="13" spans="1:30" ht="78" customHeight="1" x14ac:dyDescent="0.9">
      <c r="A13" s="352"/>
      <c r="B13" s="71"/>
      <c r="C13" s="329">
        <f>IF(B6="BUY", 11, 10)</f>
        <v>10</v>
      </c>
      <c r="D13" s="329">
        <f>MIN(10,B7)</f>
        <v>10</v>
      </c>
      <c r="E13" s="329">
        <f>MIN(10,B7)</f>
        <v>10</v>
      </c>
      <c r="F13" s="329" t="s">
        <v>127</v>
      </c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</row>
    <row r="14" spans="1:30" ht="76.5" customHeight="1" x14ac:dyDescent="0.9">
      <c r="A14" s="352" t="str">
        <f>IF(
   AND(
      OR(AND(B1&gt;B2, B2&gt;B3), AND(B1&gt;B3, B3&gt;B2)),
      D3&gt;D2, D2&gt;D1,
      B1&gt;=D3,
      B2&lt;=D2,
      B4&gt;B2,
      ABS(B1-B3)&lt;=ABS(B2-B3)*1.2
   ),
   "BUY",
   IF(
      AND(
         OR(AND(B1&lt;B2, B2&lt;B3), AND(B1&lt;B3, B3&lt;B2)),
         D3&lt;D2, D2&lt;D1,
         B1&lt;=D3,
         B2&gt;=D2,
         B4&lt;B2,
         ABS(B1-B3)&lt;=ABS(B2-B3)*1.2
      ),
      "SELL",
      "SELL"
   )
)</f>
        <v>SELL</v>
      </c>
      <c r="B14" s="352" t="str">
        <f>IF(
  AND(
    OR(B1&gt;B2, B1&gt;B3),
    D3&gt;D2, D2&gt;D1,
    B1&gt;D3,
    ABS(B1-B2)&lt;=ABS(B3-B2)*2
  ),
  "BUY",
  IF(
    AND(
      OR(B1&lt;B2, B1&lt;B3),
      D3&lt;D2, D2&lt;D1,
      B1&lt;D3,
      ABS(B1-B2)&lt;=ABS(B3-B2)*2
    ),
    "SELL",
    IF(
      AND(
        B4&lt;B3, B3&lt;B2, B2&lt;B1,
        D1&lt;D2, D2&lt;D3,
        B1&gt;=D3
      ),
      "BUY",
      IF(
        AND(
          B4&gt;B3, B3&gt;B2, B2&gt;B1,
          D1&gt;D2, D2&gt;D3,
          B1&lt;=D3
        ),
        "SELL",
        "BUY"
      )
    )
  )
)</f>
        <v>BUY</v>
      </c>
      <c r="C14" s="71"/>
      <c r="D14" s="352" t="str">
        <f>IF(
  AND(
    D2&lt;D3,
    B4&lt;D3,
    B4&lt;MIN(B2,B3),
    B4&lt;AVERAGE(B1,B2,B3),
    B4&lt;AVERAGE(D1:D3)
  ),
  "SELL",
  IF(
    AND(
      D2&gt;D3,
      B4&gt;D3,
      B4&gt;MAX(B2,B3),
      B4&gt;AVERAGE(B1,B2,B3),
      B4&gt;AVERAGE(D1:D3)
    ),
    "BUY",
    IF(
      AND(
        D1&gt;D2, D2&lt;D3,
        B4&lt;D3,
        B4&lt;AVERAGE(B2,B3),
        ABS(D3-D2)&gt;ABS(B3-B2)
      ),
      "SELL",
      IF(
        AND(
          D1&lt;D2, D2&gt;D3,
          B4&gt;D3,
          B4&gt;AVERAGE(B2,B3),
          ABS(D3-D2)&gt;ABS(B2-B3)
        ),
        "BUY",
        IF(
          B4&gt;AVERAGE(D1:D3),
          "BUY",
          "SELL"
        )
      )
    )
  )
)</f>
        <v>BUY</v>
      </c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</row>
    <row r="15" spans="1:30" x14ac:dyDescent="0.2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</row>
    <row r="16" spans="1:30" ht="21" x14ac:dyDescent="0.3">
      <c r="A16" s="364"/>
      <c r="B16" s="365"/>
      <c r="C16" s="259"/>
      <c r="D16" s="366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</row>
    <row r="17" spans="1:30" ht="21" x14ac:dyDescent="0.3">
      <c r="A17" s="279"/>
      <c r="B17" s="279"/>
      <c r="C17" s="235"/>
      <c r="D17" s="235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</row>
    <row r="18" spans="1:30" ht="37.5" x14ac:dyDescent="0.55000000000000004">
      <c r="A18" s="367"/>
      <c r="B18" s="5"/>
      <c r="C18" s="22"/>
      <c r="D18" s="31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</row>
    <row r="19" spans="1:30" ht="34.5" x14ac:dyDescent="0.5">
      <c r="A19" s="301"/>
      <c r="B19" s="311"/>
      <c r="C19" s="312"/>
      <c r="D19" s="288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</row>
    <row r="20" spans="1:30" ht="37.5" x14ac:dyDescent="0.55000000000000004">
      <c r="A20" s="251"/>
      <c r="B20" s="312"/>
      <c r="C20" s="303"/>
      <c r="D20" s="235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</row>
    <row r="21" spans="1:30" ht="31.5" x14ac:dyDescent="0.45">
      <c r="A21" s="252"/>
      <c r="B21" s="134"/>
      <c r="C21" s="23"/>
      <c r="D21" s="235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</row>
    <row r="22" spans="1:30" x14ac:dyDescent="0.2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</row>
    <row r="23" spans="1:30" x14ac:dyDescent="0.2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</row>
    <row r="24" spans="1:30" x14ac:dyDescent="0.2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</row>
    <row r="25" spans="1:30" x14ac:dyDescent="0.2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</row>
    <row r="26" spans="1:30" x14ac:dyDescent="0.2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</row>
    <row r="27" spans="1:30" x14ac:dyDescent="0.2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</row>
    <row r="28" spans="1:30" x14ac:dyDescent="0.2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</row>
    <row r="29" spans="1:30" x14ac:dyDescent="0.2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</row>
    <row r="30" spans="1:30" x14ac:dyDescent="0.2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</row>
    <row r="31" spans="1:30" x14ac:dyDescent="0.2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</row>
    <row r="32" spans="1:30" x14ac:dyDescent="0.2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</row>
    <row r="33" spans="1:30" x14ac:dyDescent="0.2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</row>
    <row r="34" spans="1:30" x14ac:dyDescent="0.2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</row>
    <row r="35" spans="1:30" x14ac:dyDescent="0.2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</row>
    <row r="36" spans="1:30" x14ac:dyDescent="0.2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</row>
    <row r="37" spans="1:30" x14ac:dyDescent="0.2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</row>
    <row r="38" spans="1:30" x14ac:dyDescent="0.2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</row>
    <row r="39" spans="1:30" x14ac:dyDescent="0.2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</row>
    <row r="40" spans="1:30" x14ac:dyDescent="0.2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</row>
    <row r="41" spans="1:30" x14ac:dyDescent="0.2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</row>
    <row r="42" spans="1:30" x14ac:dyDescent="0.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</row>
    <row r="43" spans="1:30" x14ac:dyDescent="0.2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</row>
    <row r="44" spans="1:30" x14ac:dyDescent="0.2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</row>
    <row r="45" spans="1:30" x14ac:dyDescent="0.2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</row>
    <row r="46" spans="1:30" x14ac:dyDescent="0.2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</row>
    <row r="47" spans="1:30" x14ac:dyDescent="0.2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</row>
    <row r="48" spans="1:30" x14ac:dyDescent="0.2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</row>
    <row r="49" spans="1:30" x14ac:dyDescent="0.2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FF291-3A4B-514A-B6BC-83D50CDAB453}">
  <dimension ref="A1:AH109"/>
  <sheetViews>
    <sheetView topLeftCell="A6" zoomScaleNormal="100" zoomScaleSheetLayoutView="100" workbookViewId="0">
      <selection activeCell="A10" sqref="A10"/>
    </sheetView>
  </sheetViews>
  <sheetFormatPr defaultColWidth="8.875" defaultRowHeight="15" x14ac:dyDescent="0.2"/>
  <cols>
    <col min="1" max="1" width="89.1875" customWidth="1"/>
    <col min="2" max="2" width="73.1796875" customWidth="1"/>
    <col min="3" max="3" width="60.9375" customWidth="1"/>
    <col min="4" max="4" width="86.765625" customWidth="1"/>
    <col min="5" max="5" width="63.359375" customWidth="1"/>
    <col min="6" max="6" width="55.2890625" customWidth="1"/>
  </cols>
  <sheetData>
    <row r="1" spans="1:23" ht="61.5" x14ac:dyDescent="0.7">
      <c r="A1" s="209" t="s">
        <v>0</v>
      </c>
      <c r="B1" s="361">
        <v>1.1326799999999999</v>
      </c>
      <c r="C1" s="209" t="s">
        <v>1</v>
      </c>
      <c r="D1" s="361">
        <v>1.1325400000000001</v>
      </c>
      <c r="E1" s="381">
        <f xml:space="preserve"> (D3 - D2) + (D2 - D1)</f>
        <v>-4.0000000000040004E-5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</row>
    <row r="2" spans="1:23" ht="62.25" x14ac:dyDescent="0.9">
      <c r="A2" s="209" t="s">
        <v>2</v>
      </c>
      <c r="B2" s="361">
        <v>1.1326700000000001</v>
      </c>
      <c r="C2" s="209" t="s">
        <v>128</v>
      </c>
      <c r="D2" s="361">
        <v>1.13253</v>
      </c>
      <c r="E2" s="102">
        <f xml:space="preserve"> AVERAGE(ABS(D3 - D2), ABS(D2 - D1))</f>
        <v>2.0000000000020002E-5</v>
      </c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</row>
    <row r="3" spans="1:23" ht="62.25" x14ac:dyDescent="0.9">
      <c r="A3" s="209" t="s">
        <v>4</v>
      </c>
      <c r="B3" s="361">
        <v>1.1325499999999999</v>
      </c>
      <c r="C3" s="209" t="s">
        <v>129</v>
      </c>
      <c r="D3" s="362">
        <v>1.1325000000000001</v>
      </c>
      <c r="E3" s="102">
        <f xml:space="preserve"> (IF(D3 &gt; D2, D3 - D2, 0) + IF(D2 &gt; D1, D2 - D1, 0)) / 2</f>
        <v>0</v>
      </c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</row>
    <row r="4" spans="1:23" ht="62.25" x14ac:dyDescent="0.9">
      <c r="A4" s="336" t="s">
        <v>6</v>
      </c>
      <c r="B4" s="363">
        <f>IF(
  AND(ISNUMBER(B1), ISNUMBER(B2), ISNUMBER(B3), ISNUMBER(D1), ISNUMBER(D2), ISNUMBER(D3)),
  (B1*1 + B2*1.5 + B3*2 + D1*1 + D2*1.2 + D3*1.2) / 7.9,
  "CHECK VALUES"
)</f>
        <v>1.1325773417721519</v>
      </c>
      <c r="C4" s="363"/>
      <c r="D4" s="370"/>
      <c r="E4" s="102">
        <f xml:space="preserve"> (IF(D3 &lt; D2, ABS(D3 - D2), 0) + IF(D2 &lt; D1, ABS(D2 - D1), 0)) / 2</f>
        <v>2.0000000000020002E-5</v>
      </c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</row>
    <row r="5" spans="1:23" ht="62.25" x14ac:dyDescent="0.9">
      <c r="A5" s="332"/>
      <c r="B5" s="333"/>
      <c r="C5" s="334"/>
      <c r="D5" s="382" t="str" cm="1">
        <f t="array" ref="D5">_xlfn.LET(
    _xlpm.avg_back, AVERAGE(B1, B2, B3, D1, D2),
    _xlpm.price_range, MAX(B1, B2, B3, D1, D2, D3) - MIN(B1, B2, B3, D1, D2, D3) + 0.00001,
    _xlpm.overall_momentum, D3 - B1,
    _xlpm.last_leg, D3 - D2,
    _xlpm.prev_leg, D2 - D1,
    _xlpm.acceleration, _xlpm.last_leg - _xlpm.prev_leg,
    _xlpm.near_high, IF(D3 &gt;= MAX(B1, B2, B3, D1, D2, D3) * 0.999, 1, 0),
    _xlpm.near_low, IF(D3 &lt;= MIN(B1, B2, B3, D1, D2, D3) * 1.001, 1, 0),
    _xlpm.slowing, IF(ABS(_xlpm.last_leg) &lt; 0.7 * ABS(_xlpm.prev_leg), 1, 0),
    _xlpm.reversal_detected, IF(SIGN(_xlpm.last_leg) &lt;&gt; SIGN(_xlpm.prev_leg), 1, 0),
    _xlpm.trap_signal, IF(AND(_xlpm.slowing = 1, OR(_xlpm.near_high = 1, _xlpm.near_low = 1)), 1, 0),
    _xlpm.continuation_detected, IF(AND(SIGN(_xlpm.overall_momentum) = SIGN(_xlpm.last_leg), _xlpm.acceleration &gt;= 0), 1, 0),
    _xlpm.final_decision, IF(
        _xlpm.trap_signal = 1,
            IF(SIGN(_xlpm.last_leg) = 1, "TRAP SELL", "TRAP BUY"),
        IF(_xlpm.reversal_detected = 1,
            IF(SIGN(_xlpm.last_leg) = 1, "REVERSAL BUY", "REVERSAL SELL"),
        IF(_xlpm.continuation_detected = 1,
            IF(SIGN(_xlpm.last_leg) = 1, "CONTINUATION BUY", "CONTINUATION SELL"),
        IF(SIGN(_xlpm.last_leg) = 1, "WEAK BUY", "WEAK SELL")
        ))),
    _xlpm.final_decision
)</f>
        <v>WEAK SELL</v>
      </c>
      <c r="E5" s="102">
        <f xml:space="preserve"> 100 - (100 / (1 + E3 / MAX(0.0001, E4)))</f>
        <v>0</v>
      </c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</row>
    <row r="6" spans="1:23" ht="62.25" x14ac:dyDescent="0.9">
      <c r="A6" s="358"/>
      <c r="B6" s="360"/>
      <c r="C6" s="358"/>
      <c r="D6" s="336"/>
      <c r="E6" s="102">
        <f xml:space="preserve"> ABS(D3 - D2) / MAX(0.0001, E2)</f>
        <v>0.29999999999974492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</row>
    <row r="7" spans="1:23" ht="62.25" x14ac:dyDescent="0.9">
      <c r="A7" s="358"/>
      <c r="B7" s="358">
        <f>IF(B6="BUY", 11, IF(B6="SELL", 10, 10))</f>
        <v>10</v>
      </c>
      <c r="C7" s="358"/>
      <c r="D7" s="378"/>
      <c r="E7" s="102">
        <f>ABS(D3 - D2) / MAX(0.0001, ABS(D2 - D1))</f>
        <v>0.29999999999974492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</row>
    <row r="8" spans="1:23" ht="88.5" x14ac:dyDescent="0.7">
      <c r="A8" s="360" t="s">
        <v>119</v>
      </c>
      <c r="B8" s="359">
        <f>MIN(10,B7)</f>
        <v>10</v>
      </c>
      <c r="C8" s="358"/>
      <c r="D8" s="360" t="s">
        <v>120</v>
      </c>
      <c r="E8" s="372">
        <f xml:space="preserve"> ABS((D3 - B4) - E1) / MAX(0.0001, _xlfn.STDEV.P(D3, D2, D1))</f>
        <v>0.37341772151755492</v>
      </c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</row>
    <row r="9" spans="1:23" ht="62.25" x14ac:dyDescent="0.9">
      <c r="A9" s="369" t="str">
        <f>IF(
   (
     (B4 - B3)*1.5 +
     (B4 - B2)*1.2 +
     (B4 - B1)*0.9 +
     (B4 - D1)*1.1 +
     (B4 - D2)*1.4 +
     (B4 - D3)*1
) &gt; 0,
   "BUY",
   "SELL"
)</f>
        <v>BUY</v>
      </c>
      <c r="B9" s="336"/>
      <c r="C9" s="335"/>
      <c r="D9" s="368" t="str">
        <f>IF(
  AND(
    D1&lt;D2, D2&lt;D3,
    B1&gt;B2, B2&gt;B3,
    B4&gt;=B3,
    B4&gt;=AVERAGE(B1:B3)*0.999,
    B4&gt;=D1
),
  "BUY",
  IF(
    AND(
      D1&gt;D2, D2&gt;D3,
      B1&lt;B2, B2&lt;B3,
      B4&lt;=B3,
      B4&lt;=AVERAGE(B1:B3)*1.001,
      B4&lt;=D1
),
    "SELL",
    IF(B4&gt;AVERAGE(B1:B3), "BUY", "SELL")
)
)</f>
        <v>SELL</v>
      </c>
      <c r="E9" s="102">
        <f xml:space="preserve"> AVERAGE(ABS(B1 - B2), ABS(B2 - B3)) * 1.5</f>
        <v>9.7499999999972609E-5</v>
      </c>
      <c r="F9" s="379" t="str">
        <f>IF(
   OR(
      B1&gt;D3,
      AND(D3&gt;D2,D2&gt;D1),
      AND(B1&gt;B2,B2&gt;B3)
),
   "BUY",
   "SELL"
)</f>
        <v>BUY</v>
      </c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</row>
    <row r="10" spans="1:23" ht="47.25" x14ac:dyDescent="0.7">
      <c r="A10" s="347" t="s">
        <v>121</v>
      </c>
      <c r="B10" s="347" t="s">
        <v>122</v>
      </c>
      <c r="C10" s="347" t="s">
        <v>123</v>
      </c>
      <c r="D10" s="347" t="s">
        <v>124</v>
      </c>
      <c r="E10" s="368">
        <f xml:space="preserve"> (D3 - AVERAGE(B1, B2, B3)) / MAX(0.0001, _xlfn.STDEV.P(B1, B2, B3))</f>
        <v>-1.3333333333331865</v>
      </c>
      <c r="F10" s="329" t="s">
        <v>126</v>
      </c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</row>
    <row r="11" spans="1:23" ht="47.25" x14ac:dyDescent="0.7">
      <c r="A11" s="351" t="str">
        <f>IF(
   ( (B4-B3) + (B4-B2)*0.7 + (B4-B1)*0.5 + (B4-D1)*0.4 + (B4-D2)*0.4 + (B4-D3)*0.4) &gt; 0,
   "BUY",
   "SELL"
)</f>
        <v>SELL</v>
      </c>
      <c r="B11" s="351" t="str">
        <f>IF(
  AND(
    D1&lt;D2, D2&lt;D3,
    B3&lt;B2, B1&gt;B3,
    ABS(B1-B2)&lt;=ABS(B2-B3)*1.5
  ),
  "BUY",
  IF(
    AND(
      D1&gt;D2, D2&gt;D3,
      B3&gt;B2, B1&lt;B3,
      ABS(B1-B2)&lt;=ABS(B2-B3)*1.5
    ),
    "SELL",
    IF(
      AND(
        B4&lt;B3, B3&lt;B2, B2&lt;B1,
        D1&lt;D2, D2&lt;D3
      ),
      "BUY",
      IF(
        AND(
          B4&gt;B3, B3&gt;B2, B2&gt;B1,
          D1&gt;D2, D2&gt;D3
        ),
        "SELL",
        "BUY"
      )
    )
  )
)</f>
        <v>BUY</v>
      </c>
      <c r="C11" s="351" t="str">
        <f>IF(
   OR(
      B1&gt;D3,
      AND(D3&gt;D2,D2&gt;D1),
      AND(B1&gt;B2,B2&gt;B3)
),
   "BUY",
   "SELL"
)</f>
        <v>BUY</v>
      </c>
      <c r="D11" s="351" t="str">
        <f>IF(
  AND(
    D2&lt;D3,
    B4&lt;D3,
    B4&lt;MIN(B2,B3),
    B4&lt;AVERAGE(B2,B3)
),
  "SELL",
  IF(
    AND(
      D2&gt;D3,
      B4&gt;D3,
      B4&gt;MAX(B2,B3),
      B4&gt;AVERAGE(B2,B3)
),
    "BUY",
    IF(
      B4&gt;AVERAGE(D1:D3),
      "BUY",
      "SELL"
)
)
)</f>
        <v>BUY</v>
      </c>
      <c r="E11" s="351">
        <f xml:space="preserve"> ABS(D3 - D2) / MAX(0.0001, AVERAGE(ABS(B1 - B2), ABS(B2 - B3), ABS(D1 - D2), ABS(D3 - D2)))</f>
        <v>0.29999999999974492</v>
      </c>
      <c r="F11" s="329" t="s">
        <v>127</v>
      </c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</row>
    <row r="12" spans="1:23" ht="47.25" x14ac:dyDescent="0.7">
      <c r="A12" s="350">
        <f>IF(B6="BUY", IF(B4-B1&gt;0.0004, 10, 12), IF(B1-B4&gt;0.0004, 10, 12))</f>
        <v>12</v>
      </c>
      <c r="B12" s="350" t="str">
        <f>IF(
  AND(
    ABS(B1-B2)&lt;=ABS(B2-B3)*1.2,
    ABS(D3-D2)&lt;=ABS(D2-D1)*1.2
),
  "10s",
  "12s"
)</f>
        <v>12s</v>
      </c>
      <c r="C12" s="350">
        <f>IF(B6="BUY", IF(B3-B1&gt;0.0003, 10, 12), IF(B1-B3&gt;0.0003, 10, 12))</f>
        <v>12</v>
      </c>
      <c r="D12" s="350" t="s">
        <v>125</v>
      </c>
      <c r="E12" s="350">
        <f xml:space="preserve"> (E6 + E7 + E11) / 3</f>
        <v>0.29999999999974492</v>
      </c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</row>
    <row r="13" spans="1:23" ht="62.25" x14ac:dyDescent="0.9">
      <c r="A13" s="352"/>
      <c r="B13" s="71"/>
      <c r="C13" s="329">
        <f>IF(B6="BUY", 11, 10)</f>
        <v>10</v>
      </c>
      <c r="D13" s="329">
        <f>MIN(10,B7)</f>
        <v>10</v>
      </c>
      <c r="E13" s="329">
        <f xml:space="preserve"> (D3 - D2) / MAX(0.0001, ABS(D2 - D1))</f>
        <v>-0.29999999999974492</v>
      </c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</row>
    <row r="14" spans="1:23" ht="62.25" x14ac:dyDescent="0.9">
      <c r="A14" s="352" t="str">
        <f>IF(
   AND(
      OR(AND(B1&gt;B2, B2&gt;B3), AND(B1&gt;B3, B3&gt;B2)),
      D3&gt;D2, D2&gt;D1,
      B1&gt;=D3,
      B2&lt;=D2,
      B4&gt;B2,
      ABS(B1-B3)&lt;=ABS(B2-B3)*1.2
   ),
   "BUY",
   IF(
      AND(
         OR(AND(B1&lt;B2, B2&lt;B3), AND(B1&lt;B3, B3&lt;B2)),
         D3&lt;D2, D2&lt;D1,
         B1&lt;=D3,
         B2&gt;=D2,
         B4&lt;B2,
         ABS(B1-B3)&lt;=ABS(B2-B3)*1.2
      ),
      "SELL",
      "SELL"
   )
)</f>
        <v>SELL</v>
      </c>
      <c r="B14" s="352" t="str">
        <f>IF(
  AND(
    OR(B1&gt;B2, B1&gt;B3),
    D3&gt;D2, D2&gt;D1,
    B1&gt;D3,
    ABS(B1-B2)&lt;=ABS(B3-B2)*2
  ),
  "BUY",
  IF(
    AND(
      OR(B1&lt;B2, B1&lt;B3),
      D3&lt;D2, D2&lt;D1,
      B1&lt;D3,
      ABS(B1-B2)&lt;=ABS(B3-B2)*2
    ),
    "SELL",
    IF(
      AND(
        B4&lt;B3, B3&lt;B2, B2&lt;B1,
        D1&lt;D2, D2&lt;D3,
        B1&gt;=D3
      ),
      "BUY",
      IF(
        AND(
          B4&gt;B3, B3&gt;B2, B2&gt;B1,
          D1&gt;D2, D2&gt;D3,
          B1&lt;=D3
        ),
        "SELL",
        "BUY"
      )
    )
  )
)</f>
        <v>BUY</v>
      </c>
      <c r="C14" s="71"/>
      <c r="D14" s="352" t="str">
        <f>IF(
  AND(
    D2&lt;D3,
    B4&lt;D3,
    B4&lt;MIN(B2,B3),
    B4&lt;AVERAGE(B1,B2,B3),
    B4&lt;AVERAGE(D1:D3)
  ),
  "SELL",
  IF(
    AND(
      D2&gt;D3,
      B4&gt;D3,
      B4&gt;MAX(B2,B3),
      B4&gt;AVERAGE(B1,B2,B3),
      B4&gt;AVERAGE(D1:D3)
    ),
    "BUY",
    IF(
      AND(
        D1&gt;D2, D2&lt;D3,
        B4&lt;D3,
        B4&lt;AVERAGE(B2,B3),
        ABS(D3-D2)&gt;ABS(B3-B2)
      ),
      "SELL",
      IF(
        AND(
          D1&lt;D2, D2&gt;D3,
          B4&gt;D3,
          B4&gt;AVERAGE(B2,B3),
          ABS(D3-D2)&gt;ABS(B2-B3)
        ),
        "BUY",
        IF(
          B4&gt;AVERAGE(D1:D3),
          "BUY",
          "SELL"
        )
      )
    )
  )
)</f>
        <v>BUY</v>
      </c>
      <c r="E14" s="102">
        <f xml:space="preserve"> ABS(D3 - D2) / MAX(0.0001, ABS(B1 - B3))</f>
        <v>0.23076923076909939</v>
      </c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</row>
    <row r="15" spans="1:23" ht="87" customHeight="1" x14ac:dyDescent="0.9">
      <c r="A15" s="71"/>
      <c r="B15" s="71"/>
      <c r="C15" s="71"/>
      <c r="D15" s="71"/>
      <c r="E15" s="374">
        <f xml:space="preserve"> D3 - AVERAGE(B1, B2, B3)</f>
        <v>-1.3333333333331865E-4</v>
      </c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</row>
    <row r="16" spans="1:23" ht="69.75" customHeight="1" x14ac:dyDescent="0.9">
      <c r="A16" s="364"/>
      <c r="B16" s="365"/>
      <c r="C16" s="259"/>
      <c r="D16" s="366"/>
      <c r="E16" s="102">
        <f xml:space="preserve"> ABS(D3 - MIN(D1, D2)) / MAX(0.0001, ABS(D3 - D2))</f>
        <v>0.29999999999974492</v>
      </c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</row>
    <row r="17" spans="1:34" ht="87" customHeight="1" x14ac:dyDescent="0.9">
      <c r="A17" s="279"/>
      <c r="B17" s="279"/>
      <c r="C17" s="235"/>
      <c r="D17" s="235"/>
      <c r="E17" s="102">
        <f xml:space="preserve"> IF(AND(D3 &gt; D2, D2 &lt; D1), 1, 0)</f>
        <v>0</v>
      </c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</row>
    <row r="18" spans="1:34" ht="93" customHeight="1" x14ac:dyDescent="0.9">
      <c r="A18" s="367"/>
      <c r="B18" s="5"/>
      <c r="C18" s="22"/>
      <c r="D18" s="310"/>
      <c r="E18" s="102">
        <f xml:space="preserve"> _xlfn.STDEV.P(D1, D2, D3) / MAX(0.0001, ABS(D3 - B4))</f>
        <v>0.16996731711985691</v>
      </c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</row>
    <row r="19" spans="1:34" ht="67.5" customHeight="1" x14ac:dyDescent="0.9">
      <c r="A19" s="301"/>
      <c r="B19" s="311"/>
      <c r="C19" s="312"/>
      <c r="D19" s="288"/>
      <c r="E19" s="102">
        <f xml:space="preserve"> IF(D3 &gt; D2, D3 - D2, 0) / MAX(0.0001, ABS(D2 - D1))</f>
        <v>0</v>
      </c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</row>
    <row r="20" spans="1:34" ht="61.5" customHeight="1" x14ac:dyDescent="0.9">
      <c r="A20" s="71"/>
      <c r="B20" s="71"/>
      <c r="C20" s="71"/>
      <c r="D20" s="71"/>
      <c r="E20" s="102">
        <f xml:space="preserve"> (D3 - MIN(D1, D2)) / MAX(0.0001, ABS(D3 - D2))</f>
        <v>-0.29999999999974492</v>
      </c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383"/>
      <c r="Y20" s="375"/>
      <c r="Z20" s="375"/>
      <c r="AA20" s="375"/>
      <c r="AB20" s="375"/>
      <c r="AC20" s="375"/>
      <c r="AD20" s="375"/>
      <c r="AE20" s="375"/>
      <c r="AF20" s="375"/>
      <c r="AG20" s="375"/>
      <c r="AH20" s="375"/>
    </row>
    <row r="21" spans="1:34" ht="54" customHeight="1" x14ac:dyDescent="0.9">
      <c r="A21" s="71"/>
      <c r="B21" s="71"/>
      <c r="C21" s="71"/>
      <c r="D21" s="71"/>
      <c r="E21" s="102">
        <f xml:space="preserve"> (D3 - D2) / MAX(0.0001, ABS(D2 - D1))</f>
        <v>-0.29999999999974492</v>
      </c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383"/>
      <c r="Y21" s="375"/>
      <c r="Z21" s="375"/>
      <c r="AA21" s="375"/>
      <c r="AB21" s="375"/>
      <c r="AC21" s="375"/>
      <c r="AD21" s="375"/>
      <c r="AE21" s="375"/>
      <c r="AF21" s="375"/>
      <c r="AG21" s="375"/>
      <c r="AH21" s="375"/>
    </row>
    <row r="22" spans="1:34" ht="55.5" customHeight="1" x14ac:dyDescent="0.9">
      <c r="A22" s="71"/>
      <c r="B22" s="71"/>
      <c r="C22" s="71"/>
      <c r="D22" s="71"/>
      <c r="E22" s="102">
        <f xml:space="preserve"> (D3 - D2) / MAX(0.0001, ABS(B1 - B3))</f>
        <v>-0.23076923076909939</v>
      </c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383"/>
      <c r="Y22" s="375"/>
      <c r="Z22" s="375"/>
      <c r="AA22" s="375"/>
      <c r="AB22" s="375"/>
      <c r="AC22" s="375"/>
      <c r="AD22" s="375"/>
      <c r="AE22" s="375"/>
      <c r="AF22" s="375"/>
      <c r="AG22" s="375"/>
      <c r="AH22" s="375"/>
    </row>
    <row r="23" spans="1:34" ht="64.5" customHeight="1" x14ac:dyDescent="0.9">
      <c r="A23" s="71"/>
      <c r="B23" s="71"/>
      <c r="C23" s="71"/>
      <c r="D23" s="71"/>
      <c r="E23" s="374">
        <f xml:space="preserve"> D3 - B4</f>
        <v>-7.7341772151795496E-5</v>
      </c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383"/>
      <c r="Y23" s="375"/>
      <c r="Z23" s="375"/>
      <c r="AA23" s="375"/>
      <c r="AB23" s="375"/>
      <c r="AC23" s="375"/>
      <c r="AD23" s="375"/>
      <c r="AE23" s="375"/>
      <c r="AF23" s="375"/>
      <c r="AG23" s="375"/>
      <c r="AH23" s="375"/>
    </row>
    <row r="24" spans="1:34" ht="57" customHeight="1" x14ac:dyDescent="0.9">
      <c r="A24" s="71"/>
      <c r="B24" s="71"/>
      <c r="C24" s="71"/>
      <c r="D24" s="71"/>
      <c r="E24" s="102">
        <f xml:space="preserve"> IF(AND(D3 &lt; D2, D2 &gt; D1, D3 &lt; B4), 1, 0)</f>
        <v>0</v>
      </c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383"/>
      <c r="Y24" s="375"/>
      <c r="Z24" s="375"/>
      <c r="AA24" s="375"/>
      <c r="AB24" s="375"/>
      <c r="AC24" s="375"/>
      <c r="AD24" s="375"/>
      <c r="AE24" s="375"/>
      <c r="AF24" s="375"/>
      <c r="AG24" s="375"/>
      <c r="AH24" s="375"/>
    </row>
    <row r="25" spans="1:34" ht="58.5" customHeight="1" x14ac:dyDescent="0.9">
      <c r="A25" s="71"/>
      <c r="B25" s="71"/>
      <c r="C25" s="71"/>
      <c r="D25" s="71"/>
      <c r="E25" s="102">
        <f xml:space="preserve"> IF(ABS(D3 - D2) &lt; 0.6 * ABS(D2 - D1), 1, 0)</f>
        <v>0</v>
      </c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383"/>
      <c r="Y25" s="375"/>
      <c r="Z25" s="375"/>
      <c r="AA25" s="375"/>
      <c r="AB25" s="375"/>
      <c r="AC25" s="375"/>
      <c r="AD25" s="375"/>
      <c r="AE25" s="375"/>
      <c r="AF25" s="375"/>
      <c r="AG25" s="375"/>
      <c r="AH25" s="375"/>
    </row>
    <row r="26" spans="1:34" ht="51" customHeight="1" x14ac:dyDescent="0.9">
      <c r="A26" s="71"/>
      <c r="B26" s="71"/>
      <c r="C26" s="71"/>
      <c r="D26" s="71"/>
      <c r="E26" s="102">
        <f xml:space="preserve"> ABS(D3 - MAX(D1, D2)) / MAX(0.0001, ABS(D3 - D2))</f>
        <v>0.40000000000040004</v>
      </c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383"/>
      <c r="Y26" s="375"/>
      <c r="Z26" s="375"/>
      <c r="AA26" s="375"/>
      <c r="AB26" s="375"/>
      <c r="AC26" s="375"/>
      <c r="AD26" s="375"/>
      <c r="AE26" s="375"/>
      <c r="AF26" s="375"/>
      <c r="AG26" s="375"/>
      <c r="AH26" s="375"/>
    </row>
    <row r="27" spans="1:34" ht="66" customHeight="1" x14ac:dyDescent="0.9">
      <c r="A27" s="71"/>
      <c r="B27" s="71"/>
      <c r="C27" s="71"/>
      <c r="D27" s="71"/>
      <c r="E27" s="102" t="b">
        <f xml:space="preserve"> IF(_xlfn.STDEV.P(D1, D2, D3) &lt; 0.00005, TRUE, FALSE)</f>
        <v>1</v>
      </c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383"/>
      <c r="Y27" s="375"/>
      <c r="Z27" s="375"/>
      <c r="AA27" s="375"/>
      <c r="AB27" s="375"/>
      <c r="AC27" s="375"/>
      <c r="AD27" s="375"/>
      <c r="AE27" s="375"/>
      <c r="AF27" s="375"/>
      <c r="AG27" s="375"/>
      <c r="AH27" s="375"/>
    </row>
    <row r="28" spans="1:34" ht="55.5" customHeight="1" x14ac:dyDescent="0.9">
      <c r="A28" s="71"/>
      <c r="B28" s="71"/>
      <c r="C28" s="71"/>
      <c r="D28" s="71"/>
      <c r="E28" s="102">
        <f xml:space="preserve"> IF(AND(D3 &lt; D2, D2 &gt; D1, D3 &lt; B4), 1, 0)</f>
        <v>0</v>
      </c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383"/>
      <c r="Y28" s="375"/>
      <c r="Z28" s="375"/>
      <c r="AA28" s="375"/>
      <c r="AB28" s="375"/>
      <c r="AC28" s="375"/>
      <c r="AD28" s="375"/>
      <c r="AE28" s="375"/>
      <c r="AF28" s="375"/>
      <c r="AG28" s="375"/>
      <c r="AH28" s="375"/>
    </row>
    <row r="29" spans="1:34" ht="55.5" customHeight="1" x14ac:dyDescent="0.9">
      <c r="A29" s="71"/>
      <c r="B29" s="71"/>
      <c r="C29" s="71"/>
      <c r="D29" s="71"/>
      <c r="E29" s="102">
        <f xml:space="preserve"> (ABS(D3 - D2) + ABS(D2 - D1)) / MAX(0.0001, ABS(B3 - B1))</f>
        <v>0.30769230769270184</v>
      </c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383"/>
      <c r="Y29" s="375"/>
      <c r="Z29" s="375"/>
      <c r="AA29" s="375"/>
      <c r="AB29" s="375"/>
      <c r="AC29" s="375"/>
      <c r="AD29" s="375"/>
      <c r="AE29" s="375"/>
      <c r="AF29" s="375"/>
      <c r="AG29" s="375"/>
      <c r="AH29" s="375"/>
    </row>
    <row r="30" spans="1:34" ht="61.5" customHeight="1" x14ac:dyDescent="0.9">
      <c r="A30" s="71"/>
      <c r="B30" s="71"/>
      <c r="C30" s="71"/>
      <c r="D30" s="71"/>
      <c r="E30" s="102">
        <f xml:space="preserve"> IF(
  AND(D3 &gt; MAX(B1, B2, B3), D3 &gt; MAX(D1, D2), D3 &gt; B4),
  1,
  IF(AND(D3 &lt; MIN(B1, B2, B3), D3 &lt; MIN(D1, D2), D3 &lt; B4), -1, 0)
)</f>
        <v>-1</v>
      </c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383"/>
      <c r="Y30" s="375"/>
      <c r="Z30" s="375"/>
      <c r="AA30" s="375"/>
      <c r="AB30" s="375"/>
      <c r="AC30" s="375"/>
      <c r="AD30" s="375"/>
      <c r="AE30" s="375"/>
      <c r="AF30" s="375"/>
      <c r="AG30" s="375"/>
      <c r="AH30" s="375"/>
    </row>
    <row r="31" spans="1:34" ht="75" customHeight="1" x14ac:dyDescent="0.9">
      <c r="A31" s="71"/>
      <c r="B31" s="71"/>
      <c r="C31" s="71"/>
      <c r="D31" s="71"/>
      <c r="E31" s="102">
        <f xml:space="preserve"> IF(AND(D2 &gt; D1, D3 &lt; D2, D3 &lt; B4), 1, IF(AND(D2 &lt; D1, D3 &gt; D2, D3 &gt; B4), -1, 0))</f>
        <v>0</v>
      </c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383"/>
      <c r="Y31" s="375"/>
      <c r="Z31" s="375"/>
      <c r="AA31" s="375"/>
      <c r="AB31" s="375"/>
      <c r="AC31" s="375"/>
      <c r="AD31" s="375"/>
      <c r="AE31" s="375"/>
      <c r="AF31" s="375"/>
      <c r="AG31" s="375"/>
      <c r="AH31" s="375"/>
    </row>
    <row r="32" spans="1:34" ht="84" customHeight="1" x14ac:dyDescent="0.9">
      <c r="A32" s="71"/>
      <c r="B32" s="71"/>
      <c r="C32" s="71"/>
      <c r="D32" s="71"/>
      <c r="E32" s="102">
        <f xml:space="preserve"> ABS(D3 - D2) / MAX(0.0001, ABS(B3 - B2))</f>
        <v>0.2499999999995374</v>
      </c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383"/>
      <c r="Y32" s="375"/>
      <c r="Z32" s="375"/>
      <c r="AA32" s="375"/>
      <c r="AB32" s="375"/>
      <c r="AC32" s="375"/>
      <c r="AD32" s="375"/>
      <c r="AE32" s="375"/>
      <c r="AF32" s="375"/>
      <c r="AG32" s="375"/>
      <c r="AH32" s="375"/>
    </row>
    <row r="33" spans="1:34" ht="64.5" customHeight="1" x14ac:dyDescent="0.9">
      <c r="A33" s="71"/>
      <c r="B33" s="71"/>
      <c r="C33" s="71"/>
      <c r="D33" s="71"/>
      <c r="E33" s="102">
        <f xml:space="preserve"> IF(D3 &gt; D2, 1, IF(D3 &lt; D2, -1, 0))</f>
        <v>-1</v>
      </c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383"/>
      <c r="Y33" s="375"/>
      <c r="Z33" s="375"/>
      <c r="AA33" s="375"/>
      <c r="AB33" s="375"/>
      <c r="AC33" s="375"/>
      <c r="AD33" s="375"/>
      <c r="AE33" s="375"/>
      <c r="AF33" s="375"/>
      <c r="AG33" s="375"/>
      <c r="AH33" s="375"/>
    </row>
    <row r="34" spans="1:34" ht="63" customHeight="1" x14ac:dyDescent="0.9">
      <c r="A34" s="71"/>
      <c r="B34" s="71"/>
      <c r="C34" s="71"/>
      <c r="D34" s="71"/>
      <c r="E34" s="102">
        <f xml:space="preserve"> IF(AND(D1 &lt; D2, D2 &gt; D3), -1, IF(AND(D1 &gt; D2, D2 &lt; D3), 1, 0))</f>
        <v>0</v>
      </c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383"/>
      <c r="Y34" s="375"/>
      <c r="Z34" s="375"/>
      <c r="AA34" s="375"/>
      <c r="AB34" s="375"/>
      <c r="AC34" s="375"/>
      <c r="AD34" s="375"/>
      <c r="AE34" s="375"/>
      <c r="AF34" s="375"/>
      <c r="AG34" s="375"/>
      <c r="AH34" s="375"/>
    </row>
    <row r="35" spans="1:34" ht="66" customHeight="1" x14ac:dyDescent="0.9">
      <c r="A35" s="71"/>
      <c r="B35" s="71"/>
      <c r="C35" s="71"/>
      <c r="D35" s="71"/>
      <c r="E35" s="102" t="str">
        <f xml:space="preserve"> IF(
  AND(E30 = 1, E33 = 1),
  "BUY",
  IF(AND(E30 = -1, E33 = -1),
    "SELL",
    IF(E33 = 1, "BUY", "SELL")
)
)</f>
        <v>SELL</v>
      </c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383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</row>
    <row r="36" spans="1:34" ht="73.5" customHeight="1" x14ac:dyDescent="0.9">
      <c r="A36" s="71"/>
      <c r="B36" s="71"/>
      <c r="C36" s="71"/>
      <c r="D36" s="71"/>
      <c r="E36" s="102">
        <f xml:space="preserve"> IF(AND(D2 &lt; B4, D3 &gt; B4), 1, IF(AND(D2 &gt; B4, D3 &lt; B4), -1, 0))</f>
        <v>0</v>
      </c>
      <c r="F36" s="102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383"/>
      <c r="Y36" s="375"/>
      <c r="Z36" s="375"/>
      <c r="AA36" s="375"/>
      <c r="AB36" s="375"/>
      <c r="AC36" s="375"/>
      <c r="AD36" s="375"/>
      <c r="AE36" s="375"/>
      <c r="AF36" s="375"/>
      <c r="AG36" s="375"/>
      <c r="AH36" s="375"/>
    </row>
    <row r="37" spans="1:34" ht="105" customHeight="1" x14ac:dyDescent="0.9">
      <c r="A37" s="71"/>
      <c r="B37" s="71"/>
      <c r="C37" s="71"/>
      <c r="D37" s="71"/>
      <c r="E37" s="102">
        <f xml:space="preserve"> (D3 - AVERAGE(B1, B2, B3, D1, D2)) / MAX(0.0001, ABS(B4))</f>
        <v>-8.2996539426575513E-5</v>
      </c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383"/>
      <c r="Y37" s="375"/>
      <c r="Z37" s="375"/>
      <c r="AA37" s="375"/>
      <c r="AB37" s="375"/>
      <c r="AC37" s="375"/>
      <c r="AD37" s="375"/>
      <c r="AE37" s="375"/>
      <c r="AF37" s="375"/>
      <c r="AG37" s="375"/>
      <c r="AH37" s="375"/>
    </row>
    <row r="38" spans="1:34" s="377" customFormat="1" ht="84" customHeight="1" x14ac:dyDescent="0.9">
      <c r="A38" s="102"/>
      <c r="B38" s="102"/>
      <c r="C38" s="102"/>
      <c r="D38" s="102"/>
      <c r="E38" s="102">
        <f xml:space="preserve"> IF(ABS(D3 - D2) &gt; 0.00008, 1, 0)</f>
        <v>0</v>
      </c>
      <c r="F38" s="184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384"/>
      <c r="Y38" s="376"/>
      <c r="Z38" s="376"/>
      <c r="AA38" s="376"/>
      <c r="AB38" s="376"/>
      <c r="AC38" s="376"/>
      <c r="AD38" s="376"/>
      <c r="AE38" s="376"/>
      <c r="AF38" s="376"/>
      <c r="AG38" s="376"/>
      <c r="AH38" s="376"/>
    </row>
    <row r="39" spans="1:34" ht="85.5" customHeight="1" x14ac:dyDescent="0.9">
      <c r="A39" s="71"/>
      <c r="B39" s="71"/>
      <c r="C39" s="71"/>
      <c r="D39" s="71"/>
      <c r="E39" s="102">
        <f xml:space="preserve"> IF(
  OR(
    AND(D3 &gt; MAX(B1, B2, B3), D3 &gt; MAX(D1, D2)),
    AND(D3 &lt; MIN(B1, B2, B3), D3 &lt; MIN(D1, D2))
), 1, 0
)</f>
        <v>1</v>
      </c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383"/>
      <c r="Y39" s="375"/>
      <c r="Z39" s="375"/>
      <c r="AA39" s="375"/>
      <c r="AB39" s="375"/>
      <c r="AC39" s="375"/>
      <c r="AD39" s="375"/>
      <c r="AE39" s="375"/>
      <c r="AF39" s="375"/>
      <c r="AG39" s="375"/>
      <c r="AH39" s="375"/>
    </row>
    <row r="40" spans="1:34" ht="91.5" customHeight="1" x14ac:dyDescent="0.9">
      <c r="A40" s="184"/>
      <c r="B40" s="184"/>
      <c r="C40" s="184"/>
      <c r="D40" s="184"/>
      <c r="E40" s="385">
        <f xml:space="preserve"> ABS(D3 - D2) / MAX(0.0001, ABS(MAX(D1, D2, D3) - MIN(D1, D2, D3)))</f>
        <v>0.29999999999974492</v>
      </c>
      <c r="F40" s="71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386"/>
      <c r="W40" s="380"/>
      <c r="X40" s="375"/>
      <c r="Y40" s="375"/>
      <c r="Z40" s="375"/>
      <c r="AA40" s="375"/>
      <c r="AB40" s="375"/>
      <c r="AC40" s="375"/>
      <c r="AD40" s="375"/>
      <c r="AE40" s="375"/>
      <c r="AF40" s="375"/>
      <c r="AG40" s="375"/>
      <c r="AH40" s="375"/>
    </row>
    <row r="41" spans="1:34" ht="79.5" customHeight="1" x14ac:dyDescent="0.9">
      <c r="A41" s="71"/>
      <c r="B41" s="71"/>
      <c r="C41" s="71"/>
      <c r="D41" s="71"/>
      <c r="E41" s="102">
        <f xml:space="preserve"> (E6 + E10 + E12 + E13 + E14 + E21 + E22) / 7</f>
        <v>-0.19047619047616951</v>
      </c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383"/>
      <c r="W41" s="375"/>
      <c r="X41" s="375"/>
      <c r="Y41" s="375"/>
      <c r="Z41" s="375"/>
      <c r="AA41" s="375"/>
      <c r="AB41" s="375"/>
      <c r="AC41" s="375"/>
      <c r="AD41" s="375"/>
      <c r="AE41" s="375"/>
      <c r="AF41" s="375"/>
      <c r="AG41" s="375"/>
      <c r="AH41" s="375"/>
    </row>
    <row r="42" spans="1:34" ht="69" customHeight="1" x14ac:dyDescent="0.9">
      <c r="A42" s="71"/>
      <c r="B42" s="71"/>
      <c r="C42" s="71"/>
      <c r="D42" s="71"/>
      <c r="E42" s="102">
        <f xml:space="preserve"> IF(AND(E39 = 1, E40 &gt; 0.3, E41 &gt; 0.5), 1, 0)</f>
        <v>0</v>
      </c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383"/>
      <c r="W42" s="375"/>
      <c r="X42" s="375"/>
      <c r="Y42" s="375"/>
      <c r="Z42" s="375"/>
      <c r="AA42" s="375"/>
      <c r="AB42" s="375"/>
      <c r="AC42" s="375"/>
      <c r="AD42" s="375"/>
      <c r="AE42" s="375"/>
      <c r="AF42" s="375"/>
      <c r="AG42" s="375"/>
      <c r="AH42" s="375"/>
    </row>
    <row r="43" spans="1:34" ht="79.5" customHeight="1" x14ac:dyDescent="0.9">
      <c r="A43" s="71"/>
      <c r="B43" s="71"/>
      <c r="C43" s="71"/>
      <c r="D43" s="71"/>
      <c r="E43" s="102" t="str">
        <f xml:space="preserve"> IF(
  OR(
    AND(E30 = 1, E33 = 1),
    AND(E36 = 1, E33 = 1, E37 &gt; 0)
),
  "BUY",
  IF(
    OR(
      AND(E30 = -1, E33 = -1),
      AND(E36 = -1, E33 = -1, E37 &lt; 0)
),
    "SELL",
    IF(E33 = 1, "BUY", "SELL")
)
)</f>
        <v>SELL</v>
      </c>
      <c r="F43" s="380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383"/>
      <c r="W43" s="375"/>
      <c r="X43" s="375"/>
      <c r="Y43" s="375"/>
      <c r="Z43" s="375"/>
      <c r="AA43" s="375"/>
      <c r="AB43" s="375"/>
      <c r="AC43" s="375"/>
      <c r="AD43" s="375"/>
      <c r="AE43" s="375"/>
      <c r="AF43" s="375"/>
      <c r="AG43" s="375"/>
      <c r="AH43" s="375"/>
    </row>
    <row r="44" spans="1:34" ht="46.5" customHeight="1" x14ac:dyDescent="0.2">
      <c r="A44" s="71"/>
      <c r="B44" s="71"/>
      <c r="C44" s="71"/>
      <c r="D44" s="71"/>
      <c r="E44" s="71"/>
      <c r="F44" s="375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383"/>
      <c r="W44" s="375"/>
      <c r="X44" s="375"/>
      <c r="Y44" s="375"/>
      <c r="Z44" s="375"/>
      <c r="AA44" s="375"/>
      <c r="AB44" s="375"/>
      <c r="AC44" s="375"/>
      <c r="AD44" s="375"/>
      <c r="AE44" s="375"/>
      <c r="AF44" s="375"/>
      <c r="AG44" s="375"/>
      <c r="AH44" s="375"/>
    </row>
    <row r="45" spans="1:34" ht="40.5" customHeight="1" x14ac:dyDescent="0.2">
      <c r="A45" s="380"/>
      <c r="B45" s="380"/>
      <c r="C45" s="380"/>
      <c r="D45" s="380"/>
      <c r="E45" s="380"/>
      <c r="F45" s="375"/>
      <c r="G45" s="380"/>
      <c r="H45" s="380"/>
      <c r="I45" s="380"/>
      <c r="J45" s="380"/>
      <c r="K45" s="380"/>
      <c r="L45" s="380"/>
      <c r="M45" s="380"/>
      <c r="N45" s="380"/>
      <c r="O45" s="380"/>
      <c r="P45" s="380"/>
      <c r="Q45" s="380"/>
      <c r="R45" s="380"/>
      <c r="S45" s="380"/>
      <c r="T45" s="380"/>
      <c r="U45" s="380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</row>
    <row r="46" spans="1:34" ht="51" customHeight="1" x14ac:dyDescent="0.2">
      <c r="A46" s="375"/>
      <c r="B46" s="375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  <c r="AA46" s="375"/>
      <c r="AB46" s="375"/>
      <c r="AC46" s="375"/>
      <c r="AD46" s="375"/>
      <c r="AE46" s="375"/>
      <c r="AF46" s="375"/>
      <c r="AG46" s="375"/>
      <c r="AH46" s="375"/>
    </row>
    <row r="47" spans="1:34" ht="49.5" customHeight="1" x14ac:dyDescent="0.2">
      <c r="A47" s="375"/>
      <c r="B47" s="375"/>
      <c r="C47" s="375"/>
      <c r="D47" s="375"/>
      <c r="E47" s="375"/>
      <c r="F47" s="375"/>
      <c r="G47" s="375"/>
      <c r="H47" s="375"/>
      <c r="I47" s="375"/>
      <c r="J47" s="375"/>
      <c r="K47" s="375"/>
      <c r="L47" s="375"/>
      <c r="M47" s="375"/>
      <c r="N47" s="375"/>
      <c r="O47" s="375"/>
      <c r="P47" s="375"/>
      <c r="Q47" s="375"/>
      <c r="R47" s="375"/>
      <c r="S47" s="375"/>
      <c r="T47" s="375"/>
      <c r="U47" s="375"/>
      <c r="V47" s="375"/>
      <c r="W47" s="375"/>
      <c r="X47" s="375"/>
      <c r="Y47" s="375"/>
      <c r="Z47" s="375"/>
      <c r="AA47" s="375"/>
      <c r="AB47" s="375"/>
      <c r="AC47" s="375"/>
      <c r="AD47" s="375"/>
      <c r="AE47" s="375"/>
      <c r="AF47" s="375"/>
      <c r="AG47" s="375"/>
      <c r="AH47" s="375"/>
    </row>
    <row r="48" spans="1:34" ht="34.5" customHeight="1" x14ac:dyDescent="0.2">
      <c r="A48" s="375"/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5"/>
      <c r="Q48" s="375"/>
      <c r="R48" s="375"/>
      <c r="S48" s="375"/>
      <c r="T48" s="375"/>
      <c r="U48" s="375"/>
      <c r="V48" s="375"/>
      <c r="W48" s="375"/>
      <c r="X48" s="375"/>
      <c r="Y48" s="375"/>
      <c r="Z48" s="375"/>
      <c r="AA48" s="375"/>
      <c r="AB48" s="375"/>
      <c r="AC48" s="375"/>
      <c r="AD48" s="375"/>
      <c r="AE48" s="375"/>
      <c r="AF48" s="375"/>
      <c r="AG48" s="375"/>
      <c r="AH48" s="375"/>
    </row>
    <row r="49" spans="1:34" ht="34.5" customHeight="1" x14ac:dyDescent="0.2">
      <c r="A49" s="375"/>
      <c r="B49" s="375"/>
      <c r="C49" s="375"/>
      <c r="D49" s="375"/>
      <c r="E49" s="375"/>
      <c r="F49" s="375"/>
      <c r="G49" s="375"/>
      <c r="H49" s="375"/>
      <c r="I49" s="375"/>
      <c r="J49" s="375"/>
      <c r="K49" s="375"/>
      <c r="L49" s="375"/>
      <c r="M49" s="375"/>
      <c r="N49" s="375"/>
      <c r="O49" s="375"/>
      <c r="P49" s="375"/>
      <c r="Q49" s="375"/>
      <c r="R49" s="375"/>
      <c r="S49" s="375"/>
      <c r="T49" s="375"/>
      <c r="U49" s="375"/>
      <c r="V49" s="375"/>
      <c r="W49" s="375"/>
      <c r="X49" s="375"/>
      <c r="Y49" s="375"/>
      <c r="Z49" s="375"/>
      <c r="AA49" s="375"/>
      <c r="AB49" s="375"/>
      <c r="AC49" s="375"/>
      <c r="AD49" s="375"/>
      <c r="AE49" s="375"/>
      <c r="AF49" s="375"/>
      <c r="AG49" s="375"/>
      <c r="AH49" s="375"/>
    </row>
    <row r="50" spans="1:34" ht="43.5" customHeight="1" x14ac:dyDescent="0.2">
      <c r="A50" s="375"/>
      <c r="B50" s="375"/>
      <c r="C50" s="375"/>
      <c r="D50" s="375"/>
      <c r="E50" s="375"/>
      <c r="F50" s="375"/>
      <c r="G50" s="375"/>
      <c r="H50" s="375"/>
      <c r="I50" s="375"/>
      <c r="J50" s="375"/>
      <c r="K50" s="375"/>
      <c r="L50" s="375"/>
      <c r="M50" s="375"/>
      <c r="N50" s="375"/>
      <c r="O50" s="375"/>
      <c r="P50" s="375"/>
      <c r="Q50" s="375"/>
      <c r="R50" s="375"/>
      <c r="S50" s="375"/>
      <c r="T50" s="375"/>
      <c r="U50" s="375"/>
      <c r="V50" s="375"/>
      <c r="W50" s="375"/>
      <c r="X50" s="375"/>
      <c r="Y50" s="375"/>
      <c r="Z50" s="375"/>
      <c r="AA50" s="375"/>
      <c r="AB50" s="375"/>
      <c r="AC50" s="375"/>
      <c r="AD50" s="375"/>
      <c r="AE50" s="375"/>
      <c r="AF50" s="375"/>
      <c r="AG50" s="375"/>
      <c r="AH50" s="375"/>
    </row>
    <row r="51" spans="1:34" x14ac:dyDescent="0.2">
      <c r="A51" s="375"/>
      <c r="B51" s="375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5"/>
      <c r="Z51" s="375"/>
      <c r="AA51" s="375"/>
      <c r="AB51" s="375"/>
      <c r="AC51" s="375"/>
      <c r="AD51" s="375"/>
      <c r="AE51" s="375"/>
      <c r="AF51" s="375"/>
      <c r="AG51" s="375"/>
      <c r="AH51" s="375"/>
    </row>
    <row r="52" spans="1:34" x14ac:dyDescent="0.2">
      <c r="A52" s="375"/>
      <c r="B52" s="375"/>
      <c r="C52" s="375"/>
      <c r="D52" s="375"/>
      <c r="E52" s="375"/>
      <c r="F52" s="375"/>
      <c r="G52" s="375"/>
      <c r="H52" s="375"/>
      <c r="I52" s="375"/>
      <c r="J52" s="375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  <c r="AA52" s="375"/>
      <c r="AB52" s="375"/>
      <c r="AC52" s="375"/>
      <c r="AD52" s="375"/>
      <c r="AE52" s="375"/>
      <c r="AF52" s="375"/>
      <c r="AG52" s="375"/>
      <c r="AH52" s="375"/>
    </row>
    <row r="53" spans="1:34" x14ac:dyDescent="0.2">
      <c r="A53" s="375"/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5"/>
      <c r="S53" s="375"/>
      <c r="T53" s="375"/>
      <c r="U53" s="375"/>
      <c r="V53" s="375"/>
      <c r="W53" s="375"/>
      <c r="X53" s="375"/>
      <c r="Y53" s="375"/>
      <c r="Z53" s="375"/>
      <c r="AA53" s="375"/>
      <c r="AB53" s="375"/>
      <c r="AC53" s="375"/>
      <c r="AD53" s="375"/>
      <c r="AE53" s="375"/>
      <c r="AF53" s="375"/>
      <c r="AG53" s="375"/>
      <c r="AH53" s="375"/>
    </row>
    <row r="54" spans="1:34" x14ac:dyDescent="0.2">
      <c r="A54" s="375"/>
      <c r="B54" s="375"/>
      <c r="C54" s="375"/>
      <c r="D54" s="375"/>
      <c r="E54" s="375"/>
      <c r="F54" s="375"/>
      <c r="G54" s="375"/>
      <c r="H54" s="375"/>
      <c r="I54" s="375"/>
      <c r="J54" s="375"/>
      <c r="K54" s="375"/>
      <c r="L54" s="375"/>
      <c r="M54" s="375"/>
      <c r="N54" s="375"/>
      <c r="O54" s="375"/>
      <c r="P54" s="375"/>
      <c r="Q54" s="375"/>
      <c r="R54" s="375"/>
      <c r="S54" s="375"/>
      <c r="T54" s="375"/>
      <c r="U54" s="375"/>
      <c r="V54" s="375"/>
      <c r="W54" s="375"/>
      <c r="X54" s="375"/>
      <c r="Y54" s="375"/>
      <c r="Z54" s="375"/>
      <c r="AA54" s="375"/>
      <c r="AB54" s="375"/>
      <c r="AC54" s="375"/>
      <c r="AD54" s="375"/>
      <c r="AE54" s="375"/>
      <c r="AF54" s="375"/>
      <c r="AG54" s="375"/>
      <c r="AH54" s="375"/>
    </row>
    <row r="55" spans="1:34" x14ac:dyDescent="0.2">
      <c r="A55" s="375"/>
      <c r="B55" s="375"/>
      <c r="C55" s="375"/>
      <c r="D55" s="375"/>
      <c r="E55" s="375"/>
      <c r="F55" s="375"/>
      <c r="G55" s="375"/>
      <c r="H55" s="375"/>
      <c r="I55" s="375"/>
      <c r="J55" s="375"/>
      <c r="K55" s="375"/>
      <c r="L55" s="375"/>
      <c r="M55" s="375"/>
      <c r="N55" s="375"/>
      <c r="O55" s="375"/>
      <c r="P55" s="375"/>
      <c r="Q55" s="375"/>
      <c r="R55" s="375"/>
      <c r="S55" s="375"/>
      <c r="T55" s="375"/>
      <c r="U55" s="375"/>
      <c r="V55" s="375"/>
      <c r="W55" s="375"/>
      <c r="X55" s="375"/>
      <c r="Y55" s="375"/>
      <c r="Z55" s="375"/>
      <c r="AA55" s="375"/>
      <c r="AB55" s="375"/>
      <c r="AC55" s="375"/>
      <c r="AD55" s="375"/>
      <c r="AE55" s="375"/>
      <c r="AF55" s="375"/>
      <c r="AG55" s="375"/>
      <c r="AH55" s="375"/>
    </row>
    <row r="56" spans="1:34" x14ac:dyDescent="0.2">
      <c r="A56" s="375"/>
      <c r="B56" s="375"/>
      <c r="C56" s="375"/>
      <c r="D56" s="375"/>
      <c r="E56" s="375"/>
      <c r="F56" s="375"/>
      <c r="G56" s="375"/>
      <c r="H56" s="375"/>
      <c r="I56" s="375"/>
      <c r="J56" s="375"/>
      <c r="K56" s="375"/>
      <c r="L56" s="375"/>
      <c r="M56" s="375"/>
      <c r="N56" s="375"/>
      <c r="O56" s="375"/>
      <c r="P56" s="375"/>
      <c r="Q56" s="375"/>
      <c r="R56" s="375"/>
      <c r="S56" s="375"/>
      <c r="T56" s="375"/>
      <c r="U56" s="375"/>
      <c r="V56" s="375"/>
      <c r="W56" s="375"/>
      <c r="X56" s="375"/>
      <c r="Y56" s="375"/>
      <c r="Z56" s="375"/>
      <c r="AA56" s="375"/>
      <c r="AB56" s="375"/>
      <c r="AC56" s="375"/>
      <c r="AD56" s="375"/>
      <c r="AE56" s="375"/>
      <c r="AF56" s="375"/>
      <c r="AG56" s="375"/>
      <c r="AH56" s="375"/>
    </row>
    <row r="57" spans="1:34" x14ac:dyDescent="0.2">
      <c r="A57" s="375"/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5"/>
      <c r="R57" s="375"/>
      <c r="S57" s="375"/>
      <c r="T57" s="375"/>
      <c r="U57" s="375"/>
      <c r="V57" s="375"/>
      <c r="W57" s="375"/>
      <c r="X57" s="375"/>
      <c r="Y57" s="375"/>
      <c r="Z57" s="375"/>
      <c r="AA57" s="375"/>
      <c r="AB57" s="375"/>
      <c r="AC57" s="375"/>
      <c r="AD57" s="375"/>
      <c r="AE57" s="375"/>
      <c r="AF57" s="375"/>
      <c r="AG57" s="375"/>
      <c r="AH57" s="375"/>
    </row>
    <row r="58" spans="1:34" x14ac:dyDescent="0.2">
      <c r="A58" s="375"/>
      <c r="B58" s="375"/>
      <c r="C58" s="375"/>
      <c r="D58" s="375"/>
      <c r="E58" s="375"/>
      <c r="F58" s="375"/>
      <c r="G58" s="375"/>
      <c r="H58" s="375"/>
      <c r="I58" s="375"/>
      <c r="J58" s="375"/>
      <c r="K58" s="375"/>
      <c r="L58" s="375"/>
      <c r="M58" s="375"/>
      <c r="N58" s="375"/>
      <c r="O58" s="375"/>
      <c r="P58" s="375"/>
      <c r="Q58" s="375"/>
      <c r="R58" s="375"/>
      <c r="S58" s="375"/>
      <c r="T58" s="375"/>
      <c r="U58" s="375"/>
      <c r="V58" s="375"/>
      <c r="W58" s="375"/>
      <c r="X58" s="375"/>
      <c r="Y58" s="375"/>
      <c r="Z58" s="375"/>
      <c r="AA58" s="375"/>
      <c r="AB58" s="375"/>
      <c r="AC58" s="375"/>
      <c r="AD58" s="375"/>
      <c r="AE58" s="375"/>
      <c r="AF58" s="375"/>
      <c r="AG58" s="375"/>
      <c r="AH58" s="375"/>
    </row>
    <row r="59" spans="1:34" x14ac:dyDescent="0.2">
      <c r="A59" s="375"/>
      <c r="B59" s="375"/>
      <c r="C59" s="375"/>
      <c r="D59" s="375"/>
      <c r="E59" s="375"/>
      <c r="F59" s="375"/>
      <c r="G59" s="375"/>
      <c r="H59" s="375"/>
      <c r="I59" s="375"/>
      <c r="J59" s="375"/>
      <c r="K59" s="375"/>
      <c r="L59" s="375"/>
      <c r="M59" s="375"/>
      <c r="N59" s="375"/>
      <c r="O59" s="375"/>
      <c r="P59" s="375"/>
      <c r="Q59" s="375"/>
      <c r="R59" s="375"/>
      <c r="S59" s="375"/>
      <c r="T59" s="375"/>
      <c r="U59" s="375"/>
      <c r="V59" s="375"/>
      <c r="W59" s="375"/>
      <c r="X59" s="375"/>
      <c r="Y59" s="375"/>
      <c r="Z59" s="375"/>
      <c r="AA59" s="375"/>
      <c r="AB59" s="375"/>
      <c r="AC59" s="375"/>
      <c r="AD59" s="375"/>
      <c r="AE59" s="375"/>
      <c r="AF59" s="375"/>
      <c r="AG59" s="375"/>
      <c r="AH59" s="375"/>
    </row>
    <row r="60" spans="1:34" x14ac:dyDescent="0.2">
      <c r="A60" s="375"/>
      <c r="B60" s="375"/>
      <c r="C60" s="375"/>
      <c r="D60" s="375"/>
      <c r="E60" s="375"/>
      <c r="F60" s="375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5"/>
      <c r="Z60" s="375"/>
      <c r="AA60" s="375"/>
      <c r="AB60" s="375"/>
      <c r="AC60" s="375"/>
      <c r="AD60" s="375"/>
      <c r="AE60" s="375"/>
      <c r="AF60" s="375"/>
      <c r="AG60" s="375"/>
      <c r="AH60" s="375"/>
    </row>
    <row r="61" spans="1:34" x14ac:dyDescent="0.2">
      <c r="A61" s="375"/>
      <c r="B61" s="375"/>
      <c r="C61" s="375"/>
      <c r="D61" s="375"/>
      <c r="E61" s="375"/>
      <c r="F61" s="375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5"/>
      <c r="Z61" s="375"/>
      <c r="AA61" s="375"/>
      <c r="AB61" s="375"/>
      <c r="AC61" s="375"/>
      <c r="AD61" s="375"/>
      <c r="AE61" s="375"/>
      <c r="AF61" s="375"/>
      <c r="AG61" s="375"/>
      <c r="AH61" s="375"/>
    </row>
    <row r="62" spans="1:34" x14ac:dyDescent="0.2">
      <c r="A62" s="375"/>
      <c r="B62" s="375"/>
      <c r="C62" s="375"/>
      <c r="D62" s="375"/>
      <c r="E62" s="375"/>
      <c r="F62" s="375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5"/>
      <c r="Z62" s="375"/>
      <c r="AA62" s="375"/>
      <c r="AB62" s="375"/>
      <c r="AC62" s="375"/>
      <c r="AD62" s="375"/>
      <c r="AE62" s="375"/>
      <c r="AF62" s="375"/>
      <c r="AG62" s="375"/>
      <c r="AH62" s="375"/>
    </row>
    <row r="63" spans="1:34" x14ac:dyDescent="0.2">
      <c r="A63" s="375"/>
      <c r="B63" s="375"/>
      <c r="C63" s="375"/>
      <c r="D63" s="375"/>
      <c r="E63" s="375"/>
      <c r="F63" s="375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5"/>
      <c r="Z63" s="375"/>
      <c r="AA63" s="375"/>
      <c r="AB63" s="375"/>
      <c r="AC63" s="375"/>
      <c r="AD63" s="375"/>
      <c r="AE63" s="375"/>
      <c r="AF63" s="375"/>
      <c r="AG63" s="375"/>
      <c r="AH63" s="375"/>
    </row>
    <row r="64" spans="1:34" x14ac:dyDescent="0.2">
      <c r="A64" s="375"/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5"/>
      <c r="Q64" s="375"/>
      <c r="R64" s="375"/>
      <c r="S64" s="375"/>
      <c r="T64" s="375"/>
      <c r="U64" s="375"/>
      <c r="V64" s="375"/>
      <c r="W64" s="375"/>
      <c r="X64" s="375"/>
      <c r="Y64" s="375"/>
      <c r="Z64" s="375"/>
      <c r="AA64" s="375"/>
      <c r="AB64" s="375"/>
      <c r="AC64" s="375"/>
      <c r="AD64" s="375"/>
      <c r="AE64" s="375"/>
      <c r="AF64" s="375"/>
      <c r="AG64" s="375"/>
      <c r="AH64" s="375"/>
    </row>
    <row r="65" spans="1:34" x14ac:dyDescent="0.2">
      <c r="A65" s="375"/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5"/>
      <c r="Q65" s="375"/>
      <c r="R65" s="375"/>
      <c r="S65" s="375"/>
      <c r="T65" s="375"/>
      <c r="U65" s="375"/>
      <c r="V65" s="375"/>
      <c r="W65" s="375"/>
      <c r="X65" s="375"/>
      <c r="Y65" s="375"/>
      <c r="Z65" s="375"/>
      <c r="AA65" s="375"/>
      <c r="AB65" s="375"/>
      <c r="AC65" s="375"/>
      <c r="AD65" s="375"/>
      <c r="AE65" s="375"/>
      <c r="AF65" s="375"/>
      <c r="AG65" s="375"/>
      <c r="AH65" s="375"/>
    </row>
    <row r="66" spans="1:34" x14ac:dyDescent="0.2">
      <c r="A66" s="375"/>
      <c r="B66" s="375"/>
      <c r="C66" s="375"/>
      <c r="D66" s="375"/>
      <c r="E66" s="375"/>
      <c r="F66" s="375"/>
      <c r="G66" s="375"/>
      <c r="H66" s="375"/>
      <c r="I66" s="375"/>
      <c r="J66" s="375"/>
      <c r="K66" s="375"/>
      <c r="L66" s="375"/>
      <c r="M66" s="375"/>
      <c r="N66" s="375"/>
      <c r="O66" s="375"/>
      <c r="P66" s="375"/>
      <c r="Q66" s="375"/>
      <c r="R66" s="375"/>
      <c r="S66" s="375"/>
      <c r="T66" s="375"/>
      <c r="U66" s="375"/>
      <c r="V66" s="375"/>
      <c r="W66" s="375"/>
      <c r="X66" s="375"/>
      <c r="Y66" s="375"/>
      <c r="Z66" s="375"/>
      <c r="AA66" s="375"/>
      <c r="AB66" s="375"/>
      <c r="AC66" s="375"/>
      <c r="AD66" s="375"/>
      <c r="AE66" s="375"/>
      <c r="AF66" s="375"/>
      <c r="AG66" s="375"/>
      <c r="AH66" s="375"/>
    </row>
    <row r="67" spans="1:34" x14ac:dyDescent="0.2">
      <c r="A67" s="375"/>
      <c r="B67" s="375"/>
      <c r="C67" s="375"/>
      <c r="D67" s="375"/>
      <c r="E67" s="375"/>
      <c r="F67" s="375"/>
      <c r="G67" s="375"/>
      <c r="H67" s="375"/>
      <c r="I67" s="375"/>
      <c r="J67" s="375"/>
      <c r="K67" s="375"/>
      <c r="L67" s="375"/>
      <c r="M67" s="375"/>
      <c r="N67" s="375"/>
      <c r="O67" s="375"/>
      <c r="P67" s="375"/>
      <c r="Q67" s="375"/>
      <c r="R67" s="375"/>
      <c r="S67" s="375"/>
      <c r="T67" s="375"/>
      <c r="U67" s="375"/>
      <c r="V67" s="375"/>
      <c r="W67" s="375"/>
      <c r="X67" s="375"/>
      <c r="Y67" s="375"/>
      <c r="Z67" s="375"/>
      <c r="AA67" s="375"/>
      <c r="AB67" s="375"/>
      <c r="AC67" s="375"/>
      <c r="AD67" s="375"/>
      <c r="AE67" s="375"/>
      <c r="AF67" s="375"/>
      <c r="AG67" s="375"/>
      <c r="AH67" s="375"/>
    </row>
    <row r="68" spans="1:34" x14ac:dyDescent="0.2">
      <c r="A68" s="375"/>
      <c r="B68" s="375"/>
      <c r="C68" s="375"/>
      <c r="D68" s="375"/>
      <c r="E68" s="375"/>
      <c r="F68" s="375"/>
      <c r="G68" s="375"/>
      <c r="H68" s="375"/>
      <c r="I68" s="375"/>
      <c r="J68" s="375"/>
      <c r="K68" s="375"/>
      <c r="L68" s="375"/>
      <c r="M68" s="375"/>
      <c r="N68" s="375"/>
      <c r="O68" s="375"/>
      <c r="P68" s="375"/>
      <c r="Q68" s="375"/>
      <c r="R68" s="375"/>
      <c r="S68" s="375"/>
      <c r="T68" s="375"/>
      <c r="U68" s="375"/>
      <c r="V68" s="375"/>
      <c r="W68" s="375"/>
      <c r="X68" s="375"/>
      <c r="Y68" s="375"/>
      <c r="Z68" s="375"/>
      <c r="AA68" s="375"/>
      <c r="AB68" s="375"/>
      <c r="AC68" s="375"/>
      <c r="AD68" s="375"/>
      <c r="AE68" s="375"/>
      <c r="AF68" s="375"/>
      <c r="AG68" s="375"/>
      <c r="AH68" s="375"/>
    </row>
    <row r="69" spans="1:34" x14ac:dyDescent="0.2">
      <c r="A69" s="375"/>
      <c r="B69" s="375"/>
      <c r="C69" s="375"/>
      <c r="D69" s="375"/>
      <c r="E69" s="375"/>
      <c r="F69" s="375"/>
      <c r="G69" s="375"/>
      <c r="H69" s="375"/>
      <c r="I69" s="375"/>
      <c r="J69" s="375"/>
      <c r="K69" s="375"/>
      <c r="L69" s="375"/>
      <c r="M69" s="375"/>
      <c r="N69" s="375"/>
      <c r="O69" s="375"/>
      <c r="P69" s="375"/>
      <c r="Q69" s="375"/>
      <c r="R69" s="375"/>
      <c r="S69" s="375"/>
      <c r="T69" s="375"/>
      <c r="U69" s="375"/>
      <c r="V69" s="375"/>
      <c r="W69" s="375"/>
      <c r="X69" s="375"/>
      <c r="Y69" s="375"/>
      <c r="Z69" s="375"/>
      <c r="AA69" s="375"/>
      <c r="AB69" s="375"/>
      <c r="AC69" s="375"/>
      <c r="AD69" s="375"/>
      <c r="AE69" s="375"/>
      <c r="AF69" s="375"/>
      <c r="AG69" s="375"/>
      <c r="AH69" s="375"/>
    </row>
    <row r="70" spans="1:34" x14ac:dyDescent="0.2">
      <c r="A70" s="375"/>
      <c r="B70" s="375"/>
      <c r="C70" s="375"/>
      <c r="D70" s="375"/>
      <c r="E70" s="375"/>
      <c r="F70" s="375"/>
      <c r="G70" s="375"/>
      <c r="H70" s="375"/>
      <c r="I70" s="375"/>
      <c r="J70" s="375"/>
      <c r="K70" s="375"/>
      <c r="L70" s="375"/>
      <c r="M70" s="375"/>
      <c r="N70" s="375"/>
      <c r="O70" s="375"/>
      <c r="P70" s="375"/>
      <c r="Q70" s="375"/>
      <c r="R70" s="375"/>
      <c r="S70" s="375"/>
      <c r="T70" s="375"/>
      <c r="U70" s="375"/>
      <c r="V70" s="375"/>
      <c r="W70" s="375"/>
      <c r="X70" s="375"/>
      <c r="Y70" s="375"/>
      <c r="Z70" s="375"/>
      <c r="AA70" s="375"/>
      <c r="AB70" s="375"/>
      <c r="AC70" s="375"/>
      <c r="AD70" s="375"/>
      <c r="AE70" s="375"/>
      <c r="AF70" s="375"/>
      <c r="AG70" s="375"/>
      <c r="AH70" s="375"/>
    </row>
    <row r="71" spans="1:34" x14ac:dyDescent="0.2">
      <c r="A71" s="375"/>
      <c r="B71" s="375"/>
      <c r="C71" s="375"/>
      <c r="D71" s="375"/>
      <c r="E71" s="375"/>
      <c r="F71" s="375"/>
      <c r="G71" s="375"/>
      <c r="H71" s="375"/>
      <c r="I71" s="375"/>
      <c r="J71" s="375"/>
      <c r="K71" s="375"/>
      <c r="L71" s="375"/>
      <c r="M71" s="375"/>
      <c r="N71" s="375"/>
      <c r="O71" s="375"/>
      <c r="P71" s="375"/>
      <c r="Q71" s="375"/>
      <c r="R71" s="375"/>
      <c r="S71" s="375"/>
      <c r="T71" s="375"/>
      <c r="U71" s="375"/>
      <c r="V71" s="375"/>
      <c r="W71" s="375"/>
      <c r="X71" s="375"/>
      <c r="Y71" s="375"/>
      <c r="Z71" s="375"/>
      <c r="AA71" s="375"/>
      <c r="AB71" s="375"/>
      <c r="AC71" s="375"/>
      <c r="AD71" s="375"/>
      <c r="AE71" s="375"/>
      <c r="AF71" s="375"/>
      <c r="AG71" s="375"/>
      <c r="AH71" s="375"/>
    </row>
    <row r="72" spans="1:34" x14ac:dyDescent="0.2">
      <c r="A72" s="375"/>
      <c r="B72" s="375"/>
      <c r="C72" s="375"/>
      <c r="D72" s="375"/>
      <c r="E72" s="375"/>
      <c r="F72" s="375"/>
      <c r="G72" s="375"/>
      <c r="H72" s="375"/>
      <c r="I72" s="375"/>
      <c r="J72" s="375"/>
      <c r="K72" s="375"/>
      <c r="L72" s="375"/>
      <c r="M72" s="375"/>
      <c r="N72" s="375"/>
      <c r="O72" s="375"/>
      <c r="P72" s="375"/>
      <c r="Q72" s="375"/>
      <c r="R72" s="375"/>
      <c r="S72" s="375"/>
      <c r="T72" s="375"/>
      <c r="U72" s="375"/>
      <c r="V72" s="375"/>
      <c r="W72" s="375"/>
      <c r="X72" s="375"/>
      <c r="Y72" s="375"/>
      <c r="Z72" s="375"/>
      <c r="AA72" s="375"/>
      <c r="AB72" s="375"/>
      <c r="AC72" s="375"/>
      <c r="AD72" s="375"/>
      <c r="AE72" s="375"/>
      <c r="AF72" s="375"/>
      <c r="AG72" s="375"/>
      <c r="AH72" s="375"/>
    </row>
    <row r="73" spans="1:34" x14ac:dyDescent="0.2">
      <c r="A73" s="375"/>
      <c r="B73" s="375"/>
      <c r="C73" s="375"/>
      <c r="D73" s="375"/>
      <c r="E73" s="375"/>
      <c r="F73" s="375"/>
      <c r="G73" s="375"/>
      <c r="H73" s="375"/>
      <c r="I73" s="375"/>
      <c r="J73" s="375"/>
      <c r="K73" s="375"/>
      <c r="L73" s="375"/>
      <c r="M73" s="375"/>
      <c r="N73" s="375"/>
      <c r="O73" s="375"/>
      <c r="P73" s="375"/>
      <c r="Q73" s="375"/>
      <c r="R73" s="375"/>
      <c r="S73" s="375"/>
      <c r="T73" s="375"/>
      <c r="U73" s="375"/>
      <c r="V73" s="375"/>
      <c r="W73" s="375"/>
      <c r="X73" s="375"/>
      <c r="Y73" s="375"/>
      <c r="Z73" s="375"/>
      <c r="AA73" s="375"/>
      <c r="AB73" s="375"/>
      <c r="AC73" s="375"/>
      <c r="AD73" s="375"/>
      <c r="AE73" s="375"/>
      <c r="AF73" s="375"/>
      <c r="AG73" s="375"/>
      <c r="AH73" s="375"/>
    </row>
    <row r="74" spans="1:34" x14ac:dyDescent="0.2">
      <c r="A74" s="375"/>
      <c r="B74" s="375"/>
      <c r="C74" s="375"/>
      <c r="D74" s="375"/>
      <c r="E74" s="375"/>
      <c r="F74" s="375"/>
      <c r="G74" s="375"/>
      <c r="H74" s="375"/>
      <c r="I74" s="375"/>
      <c r="J74" s="375"/>
      <c r="K74" s="375"/>
      <c r="L74" s="375"/>
      <c r="M74" s="375"/>
      <c r="N74" s="375"/>
      <c r="O74" s="375"/>
      <c r="P74" s="375"/>
      <c r="Q74" s="375"/>
      <c r="R74" s="375"/>
      <c r="S74" s="375"/>
      <c r="T74" s="375"/>
      <c r="U74" s="375"/>
      <c r="V74" s="375"/>
      <c r="W74" s="375"/>
      <c r="X74" s="375"/>
      <c r="Y74" s="375"/>
      <c r="Z74" s="375"/>
      <c r="AA74" s="375"/>
      <c r="AB74" s="375"/>
      <c r="AC74" s="375"/>
      <c r="AD74" s="375"/>
      <c r="AE74" s="375"/>
      <c r="AF74" s="375"/>
      <c r="AG74" s="375"/>
      <c r="AH74" s="375"/>
    </row>
    <row r="75" spans="1:34" x14ac:dyDescent="0.2">
      <c r="A75" s="375"/>
      <c r="B75" s="375"/>
      <c r="C75" s="375"/>
      <c r="D75" s="375"/>
      <c r="E75" s="375"/>
      <c r="F75" s="375"/>
      <c r="G75" s="375"/>
      <c r="H75" s="375"/>
      <c r="I75" s="375"/>
      <c r="J75" s="375"/>
      <c r="K75" s="375"/>
      <c r="L75" s="375"/>
      <c r="M75" s="375"/>
      <c r="N75" s="375"/>
      <c r="O75" s="375"/>
      <c r="P75" s="375"/>
      <c r="Q75" s="375"/>
      <c r="R75" s="375"/>
      <c r="S75" s="375"/>
      <c r="T75" s="375"/>
      <c r="U75" s="375"/>
      <c r="V75" s="375"/>
      <c r="W75" s="375"/>
      <c r="X75" s="375"/>
      <c r="Y75" s="375"/>
      <c r="Z75" s="375"/>
      <c r="AA75" s="375"/>
      <c r="AB75" s="375"/>
      <c r="AC75" s="375"/>
      <c r="AD75" s="375"/>
      <c r="AE75" s="375"/>
      <c r="AF75" s="375"/>
      <c r="AG75" s="375"/>
      <c r="AH75" s="375"/>
    </row>
    <row r="76" spans="1:34" x14ac:dyDescent="0.2">
      <c r="A76" s="375"/>
      <c r="B76" s="375"/>
      <c r="C76" s="375"/>
      <c r="D76" s="375"/>
      <c r="E76" s="375"/>
      <c r="F76" s="375"/>
      <c r="G76" s="375"/>
      <c r="H76" s="375"/>
      <c r="I76" s="375"/>
      <c r="J76" s="375"/>
      <c r="K76" s="375"/>
      <c r="L76" s="375"/>
      <c r="M76" s="375"/>
      <c r="N76" s="375"/>
      <c r="O76" s="375"/>
      <c r="P76" s="375"/>
      <c r="Q76" s="375"/>
      <c r="R76" s="375"/>
      <c r="S76" s="375"/>
      <c r="T76" s="375"/>
      <c r="U76" s="375"/>
      <c r="V76" s="375"/>
      <c r="W76" s="375"/>
      <c r="X76" s="375"/>
      <c r="Y76" s="375"/>
      <c r="Z76" s="375"/>
      <c r="AA76" s="375"/>
      <c r="AB76" s="375"/>
      <c r="AC76" s="375"/>
      <c r="AD76" s="375"/>
      <c r="AE76" s="375"/>
      <c r="AF76" s="375"/>
      <c r="AG76" s="375"/>
      <c r="AH76" s="375"/>
    </row>
    <row r="77" spans="1:34" x14ac:dyDescent="0.2">
      <c r="A77" s="375"/>
      <c r="B77" s="375"/>
      <c r="C77" s="375"/>
      <c r="D77" s="375"/>
      <c r="E77" s="375"/>
      <c r="F77" s="375"/>
      <c r="G77" s="375"/>
      <c r="H77" s="375"/>
      <c r="I77" s="375"/>
      <c r="J77" s="375"/>
      <c r="K77" s="375"/>
      <c r="L77" s="375"/>
      <c r="M77" s="375"/>
      <c r="N77" s="375"/>
      <c r="O77" s="375"/>
      <c r="P77" s="375"/>
      <c r="Q77" s="375"/>
      <c r="R77" s="375"/>
      <c r="S77" s="375"/>
      <c r="T77" s="375"/>
      <c r="U77" s="375"/>
      <c r="V77" s="375"/>
      <c r="W77" s="375"/>
      <c r="X77" s="375"/>
      <c r="Y77" s="375"/>
      <c r="Z77" s="375"/>
      <c r="AA77" s="375"/>
      <c r="AB77" s="375"/>
      <c r="AC77" s="375"/>
      <c r="AD77" s="375"/>
      <c r="AE77" s="375"/>
      <c r="AF77" s="375"/>
      <c r="AG77" s="375"/>
      <c r="AH77" s="375"/>
    </row>
    <row r="78" spans="1:34" x14ac:dyDescent="0.2">
      <c r="A78" s="375"/>
      <c r="B78" s="375"/>
      <c r="C78" s="375"/>
      <c r="D78" s="375"/>
      <c r="E78" s="375"/>
      <c r="F78" s="375"/>
      <c r="G78" s="375"/>
      <c r="H78" s="375"/>
      <c r="I78" s="375"/>
      <c r="J78" s="375"/>
      <c r="K78" s="375"/>
      <c r="L78" s="375"/>
      <c r="M78" s="375"/>
      <c r="N78" s="375"/>
      <c r="O78" s="375"/>
      <c r="P78" s="375"/>
      <c r="Q78" s="375"/>
      <c r="R78" s="375"/>
      <c r="S78" s="375"/>
      <c r="T78" s="375"/>
      <c r="U78" s="375"/>
      <c r="V78" s="375"/>
      <c r="W78" s="375"/>
      <c r="X78" s="375"/>
      <c r="Y78" s="375"/>
      <c r="Z78" s="375"/>
      <c r="AA78" s="375"/>
      <c r="AB78" s="375"/>
      <c r="AC78" s="375"/>
      <c r="AD78" s="375"/>
      <c r="AE78" s="375"/>
      <c r="AF78" s="375"/>
      <c r="AG78" s="375"/>
      <c r="AH78" s="375"/>
    </row>
    <row r="79" spans="1:34" x14ac:dyDescent="0.2">
      <c r="A79" s="375"/>
      <c r="B79" s="375"/>
      <c r="C79" s="375"/>
      <c r="D79" s="375"/>
      <c r="E79" s="375"/>
      <c r="F79" s="375"/>
      <c r="G79" s="375"/>
      <c r="H79" s="375"/>
      <c r="I79" s="375"/>
      <c r="J79" s="375"/>
      <c r="K79" s="375"/>
      <c r="L79" s="375"/>
      <c r="M79" s="375"/>
      <c r="N79" s="375"/>
      <c r="O79" s="375"/>
      <c r="P79" s="375"/>
      <c r="Q79" s="375"/>
      <c r="R79" s="375"/>
      <c r="S79" s="375"/>
      <c r="T79" s="375"/>
      <c r="U79" s="375"/>
      <c r="V79" s="375"/>
      <c r="W79" s="375"/>
      <c r="X79" s="375"/>
      <c r="Y79" s="375"/>
      <c r="Z79" s="375"/>
      <c r="AA79" s="375"/>
      <c r="AB79" s="375"/>
      <c r="AC79" s="375"/>
      <c r="AD79" s="375"/>
      <c r="AE79" s="375"/>
      <c r="AF79" s="375"/>
      <c r="AG79" s="375"/>
      <c r="AH79" s="375"/>
    </row>
    <row r="80" spans="1:34" x14ac:dyDescent="0.2">
      <c r="A80" s="375"/>
      <c r="B80" s="375"/>
      <c r="C80" s="375"/>
      <c r="D80" s="375"/>
      <c r="E80" s="375"/>
      <c r="F80" s="375"/>
      <c r="G80" s="375"/>
      <c r="H80" s="375"/>
      <c r="I80" s="375"/>
      <c r="J80" s="375"/>
      <c r="K80" s="375"/>
      <c r="L80" s="375"/>
      <c r="M80" s="375"/>
      <c r="N80" s="375"/>
      <c r="O80" s="375"/>
      <c r="P80" s="375"/>
      <c r="Q80" s="375"/>
      <c r="R80" s="375"/>
      <c r="S80" s="375"/>
      <c r="T80" s="375"/>
      <c r="U80" s="375"/>
      <c r="V80" s="375"/>
      <c r="W80" s="375"/>
      <c r="X80" s="375"/>
      <c r="Y80" s="375"/>
      <c r="Z80" s="375"/>
      <c r="AA80" s="375"/>
      <c r="AB80" s="375"/>
      <c r="AC80" s="375"/>
      <c r="AD80" s="375"/>
      <c r="AE80" s="375"/>
      <c r="AF80" s="375"/>
      <c r="AG80" s="375"/>
      <c r="AH80" s="375"/>
    </row>
    <row r="81" spans="1:34" x14ac:dyDescent="0.2">
      <c r="A81" s="375"/>
      <c r="B81" s="375"/>
      <c r="C81" s="375"/>
      <c r="D81" s="375"/>
      <c r="E81" s="375"/>
      <c r="F81" s="375"/>
      <c r="G81" s="375"/>
      <c r="H81" s="375"/>
      <c r="I81" s="375"/>
      <c r="J81" s="375"/>
      <c r="K81" s="375"/>
      <c r="L81" s="375"/>
      <c r="M81" s="375"/>
      <c r="N81" s="375"/>
      <c r="O81" s="375"/>
      <c r="P81" s="375"/>
      <c r="Q81" s="375"/>
      <c r="R81" s="375"/>
      <c r="S81" s="375"/>
      <c r="T81" s="375"/>
      <c r="U81" s="375"/>
      <c r="V81" s="375"/>
      <c r="W81" s="375"/>
      <c r="X81" s="375"/>
      <c r="Y81" s="375"/>
      <c r="Z81" s="375"/>
      <c r="AA81" s="375"/>
      <c r="AB81" s="375"/>
      <c r="AC81" s="375"/>
      <c r="AD81" s="375"/>
      <c r="AE81" s="375"/>
      <c r="AF81" s="375"/>
      <c r="AG81" s="375"/>
      <c r="AH81" s="375"/>
    </row>
    <row r="82" spans="1:34" x14ac:dyDescent="0.2">
      <c r="A82" s="375"/>
      <c r="B82" s="375"/>
      <c r="C82" s="375"/>
      <c r="D82" s="375"/>
      <c r="E82" s="375"/>
      <c r="F82" s="375"/>
      <c r="G82" s="375"/>
      <c r="H82" s="375"/>
      <c r="I82" s="375"/>
      <c r="J82" s="375"/>
      <c r="K82" s="375"/>
      <c r="L82" s="375"/>
      <c r="M82" s="375"/>
      <c r="N82" s="375"/>
      <c r="O82" s="375"/>
      <c r="P82" s="375"/>
      <c r="Q82" s="375"/>
      <c r="R82" s="375"/>
      <c r="S82" s="375"/>
      <c r="T82" s="375"/>
      <c r="U82" s="375"/>
      <c r="V82" s="375"/>
      <c r="W82" s="375"/>
      <c r="X82" s="375"/>
      <c r="Y82" s="375"/>
      <c r="Z82" s="375"/>
      <c r="AA82" s="375"/>
      <c r="AB82" s="375"/>
      <c r="AC82" s="375"/>
      <c r="AD82" s="375"/>
      <c r="AE82" s="375"/>
      <c r="AF82" s="375"/>
      <c r="AG82" s="375"/>
      <c r="AH82" s="375"/>
    </row>
    <row r="83" spans="1:34" x14ac:dyDescent="0.2">
      <c r="A83" s="375"/>
      <c r="B83" s="375"/>
      <c r="C83" s="375"/>
      <c r="D83" s="375"/>
      <c r="E83" s="375"/>
      <c r="F83" s="375"/>
      <c r="G83" s="375"/>
      <c r="H83" s="375"/>
      <c r="I83" s="375"/>
      <c r="J83" s="375"/>
      <c r="K83" s="375"/>
      <c r="L83" s="375"/>
      <c r="M83" s="375"/>
      <c r="N83" s="375"/>
      <c r="O83" s="375"/>
      <c r="P83" s="375"/>
      <c r="Q83" s="375"/>
      <c r="R83" s="375"/>
      <c r="S83" s="375"/>
      <c r="T83" s="375"/>
      <c r="U83" s="375"/>
      <c r="V83" s="375"/>
      <c r="W83" s="375"/>
      <c r="X83" s="375"/>
      <c r="Y83" s="375"/>
      <c r="Z83" s="375"/>
      <c r="AA83" s="375"/>
      <c r="AB83" s="375"/>
      <c r="AC83" s="375"/>
      <c r="AD83" s="375"/>
      <c r="AE83" s="375"/>
      <c r="AF83" s="375"/>
      <c r="AG83" s="375"/>
      <c r="AH83" s="375"/>
    </row>
    <row r="84" spans="1:34" x14ac:dyDescent="0.2">
      <c r="A84" s="375"/>
      <c r="B84" s="375"/>
      <c r="C84" s="375"/>
      <c r="D84" s="375"/>
      <c r="E84" s="375"/>
      <c r="F84" s="375"/>
      <c r="G84" s="375"/>
      <c r="H84" s="375"/>
      <c r="I84" s="375"/>
      <c r="J84" s="375"/>
      <c r="K84" s="375"/>
      <c r="L84" s="375"/>
      <c r="M84" s="375"/>
      <c r="N84" s="375"/>
      <c r="O84" s="375"/>
      <c r="P84" s="375"/>
      <c r="Q84" s="375"/>
      <c r="R84" s="375"/>
      <c r="S84" s="375"/>
      <c r="T84" s="375"/>
      <c r="U84" s="375"/>
      <c r="V84" s="375"/>
      <c r="W84" s="375"/>
      <c r="X84" s="375"/>
      <c r="Y84" s="375"/>
      <c r="Z84" s="375"/>
      <c r="AA84" s="375"/>
      <c r="AB84" s="375"/>
      <c r="AC84" s="375"/>
      <c r="AD84" s="375"/>
      <c r="AE84" s="375"/>
      <c r="AF84" s="375"/>
      <c r="AG84" s="375"/>
      <c r="AH84" s="375"/>
    </row>
    <row r="85" spans="1:34" x14ac:dyDescent="0.2">
      <c r="A85" s="375"/>
      <c r="B85" s="375"/>
      <c r="C85" s="375"/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5"/>
      <c r="Q85" s="375"/>
      <c r="R85" s="375"/>
      <c r="S85" s="375"/>
      <c r="T85" s="375"/>
      <c r="U85" s="375"/>
      <c r="V85" s="375"/>
      <c r="W85" s="375"/>
      <c r="X85" s="375"/>
      <c r="Y85" s="375"/>
      <c r="Z85" s="375"/>
      <c r="AA85" s="375"/>
      <c r="AB85" s="375"/>
      <c r="AC85" s="375"/>
      <c r="AD85" s="375"/>
      <c r="AE85" s="375"/>
      <c r="AF85" s="375"/>
      <c r="AG85" s="375"/>
      <c r="AH85" s="375"/>
    </row>
    <row r="86" spans="1:34" x14ac:dyDescent="0.2">
      <c r="A86" s="375"/>
      <c r="B86" s="375"/>
      <c r="C86" s="375"/>
      <c r="D86" s="375"/>
      <c r="E86" s="375"/>
      <c r="F86" s="375"/>
      <c r="G86" s="375"/>
      <c r="H86" s="375"/>
      <c r="I86" s="375"/>
      <c r="J86" s="375"/>
      <c r="K86" s="375"/>
      <c r="L86" s="375"/>
      <c r="M86" s="375"/>
      <c r="N86" s="375"/>
      <c r="O86" s="375"/>
      <c r="P86" s="375"/>
      <c r="Q86" s="375"/>
      <c r="R86" s="375"/>
      <c r="S86" s="375"/>
      <c r="T86" s="375"/>
      <c r="U86" s="375"/>
      <c r="V86" s="375"/>
      <c r="W86" s="375"/>
      <c r="X86" s="375"/>
      <c r="Y86" s="375"/>
      <c r="Z86" s="375"/>
      <c r="AA86" s="375"/>
      <c r="AB86" s="375"/>
      <c r="AC86" s="375"/>
      <c r="AD86" s="375"/>
      <c r="AE86" s="375"/>
      <c r="AF86" s="375"/>
      <c r="AG86" s="375"/>
      <c r="AH86" s="375"/>
    </row>
    <row r="87" spans="1:34" x14ac:dyDescent="0.2">
      <c r="A87" s="375"/>
      <c r="B87" s="375"/>
      <c r="C87" s="375"/>
      <c r="D87" s="375"/>
      <c r="E87" s="375"/>
      <c r="F87" s="375"/>
      <c r="G87" s="375"/>
      <c r="H87" s="375"/>
      <c r="I87" s="375"/>
      <c r="J87" s="375"/>
      <c r="K87" s="375"/>
      <c r="L87" s="375"/>
      <c r="M87" s="375"/>
      <c r="N87" s="375"/>
      <c r="O87" s="375"/>
      <c r="P87" s="375"/>
      <c r="Q87" s="375"/>
      <c r="R87" s="375"/>
      <c r="S87" s="375"/>
      <c r="T87" s="375"/>
      <c r="U87" s="375"/>
      <c r="V87" s="375"/>
      <c r="W87" s="375"/>
      <c r="X87" s="375"/>
      <c r="Y87" s="375"/>
      <c r="Z87" s="375"/>
      <c r="AA87" s="375"/>
      <c r="AB87" s="375"/>
      <c r="AC87" s="375"/>
      <c r="AD87" s="375"/>
      <c r="AE87" s="375"/>
      <c r="AF87" s="375"/>
      <c r="AG87" s="375"/>
      <c r="AH87" s="375"/>
    </row>
    <row r="88" spans="1:34" x14ac:dyDescent="0.2">
      <c r="A88" s="375"/>
      <c r="B88" s="375"/>
      <c r="C88" s="375"/>
      <c r="D88" s="375"/>
      <c r="E88" s="375"/>
      <c r="F88" s="375"/>
      <c r="G88" s="375"/>
      <c r="H88" s="375"/>
      <c r="I88" s="375"/>
      <c r="J88" s="375"/>
      <c r="K88" s="375"/>
      <c r="L88" s="375"/>
      <c r="M88" s="375"/>
      <c r="N88" s="375"/>
      <c r="O88" s="375"/>
      <c r="P88" s="375"/>
      <c r="Q88" s="375"/>
      <c r="R88" s="375"/>
      <c r="S88" s="375"/>
      <c r="T88" s="375"/>
      <c r="U88" s="375"/>
      <c r="V88" s="375"/>
      <c r="W88" s="375"/>
      <c r="X88" s="375"/>
      <c r="Y88" s="375"/>
      <c r="Z88" s="375"/>
      <c r="AA88" s="375"/>
      <c r="AB88" s="375"/>
      <c r="AC88" s="375"/>
      <c r="AD88" s="375"/>
      <c r="AE88" s="375"/>
      <c r="AF88" s="375"/>
      <c r="AG88" s="375"/>
      <c r="AH88" s="375"/>
    </row>
    <row r="89" spans="1:34" x14ac:dyDescent="0.2">
      <c r="A89" s="375"/>
      <c r="B89" s="375"/>
      <c r="C89" s="375"/>
      <c r="D89" s="375"/>
      <c r="E89" s="375"/>
      <c r="F89" s="375"/>
      <c r="G89" s="375"/>
      <c r="H89" s="375"/>
      <c r="I89" s="375"/>
      <c r="J89" s="375"/>
      <c r="K89" s="375"/>
      <c r="L89" s="375"/>
      <c r="M89" s="375"/>
      <c r="N89" s="375"/>
      <c r="O89" s="375"/>
      <c r="P89" s="375"/>
      <c r="Q89" s="375"/>
      <c r="R89" s="375"/>
      <c r="S89" s="375"/>
      <c r="T89" s="375"/>
      <c r="U89" s="375"/>
      <c r="V89" s="375"/>
      <c r="W89" s="375"/>
      <c r="X89" s="375"/>
      <c r="Y89" s="375"/>
      <c r="Z89" s="375"/>
      <c r="AA89" s="375"/>
      <c r="AB89" s="375"/>
      <c r="AC89" s="375"/>
      <c r="AD89" s="375"/>
      <c r="AE89" s="375"/>
      <c r="AF89" s="375"/>
      <c r="AG89" s="375"/>
      <c r="AH89" s="375"/>
    </row>
    <row r="90" spans="1:34" x14ac:dyDescent="0.2">
      <c r="A90" s="375"/>
      <c r="B90" s="375"/>
      <c r="C90" s="375"/>
      <c r="D90" s="375"/>
      <c r="E90" s="375"/>
      <c r="F90" s="375"/>
      <c r="G90" s="375"/>
      <c r="H90" s="375"/>
      <c r="I90" s="375"/>
      <c r="J90" s="375"/>
      <c r="K90" s="375"/>
      <c r="L90" s="375"/>
      <c r="M90" s="375"/>
      <c r="N90" s="375"/>
      <c r="O90" s="375"/>
      <c r="P90" s="375"/>
      <c r="Q90" s="375"/>
      <c r="R90" s="375"/>
      <c r="S90" s="375"/>
      <c r="T90" s="375"/>
      <c r="U90" s="375"/>
      <c r="V90" s="375"/>
      <c r="W90" s="375"/>
      <c r="X90" s="375"/>
      <c r="Y90" s="375"/>
      <c r="Z90" s="375"/>
      <c r="AA90" s="375"/>
      <c r="AB90" s="375"/>
      <c r="AC90" s="375"/>
      <c r="AD90" s="375"/>
      <c r="AE90" s="375"/>
      <c r="AF90" s="375"/>
      <c r="AG90" s="375"/>
      <c r="AH90" s="375"/>
    </row>
    <row r="91" spans="1:34" x14ac:dyDescent="0.2">
      <c r="A91" s="375"/>
      <c r="B91" s="375"/>
      <c r="C91" s="375"/>
      <c r="D91" s="375"/>
      <c r="E91" s="375"/>
      <c r="F91" s="375"/>
      <c r="G91" s="375"/>
      <c r="H91" s="375"/>
      <c r="I91" s="375"/>
      <c r="J91" s="375"/>
      <c r="K91" s="375"/>
      <c r="L91" s="375"/>
      <c r="M91" s="375"/>
      <c r="N91" s="375"/>
      <c r="O91" s="375"/>
      <c r="P91" s="375"/>
      <c r="Q91" s="375"/>
      <c r="R91" s="375"/>
      <c r="S91" s="375"/>
      <c r="T91" s="375"/>
      <c r="U91" s="375"/>
      <c r="V91" s="375"/>
      <c r="W91" s="375"/>
      <c r="X91" s="375"/>
      <c r="Y91" s="375"/>
      <c r="Z91" s="375"/>
      <c r="AA91" s="375"/>
      <c r="AB91" s="375"/>
      <c r="AC91" s="375"/>
      <c r="AD91" s="375"/>
      <c r="AE91" s="375"/>
      <c r="AF91" s="375"/>
      <c r="AG91" s="375"/>
      <c r="AH91" s="375"/>
    </row>
    <row r="92" spans="1:34" x14ac:dyDescent="0.2">
      <c r="A92" s="375"/>
      <c r="B92" s="375"/>
      <c r="C92" s="375"/>
      <c r="D92" s="375"/>
      <c r="E92" s="375"/>
      <c r="F92" s="375"/>
      <c r="G92" s="375"/>
      <c r="H92" s="375"/>
      <c r="I92" s="375"/>
      <c r="J92" s="375"/>
      <c r="K92" s="375"/>
      <c r="L92" s="375"/>
      <c r="M92" s="375"/>
      <c r="N92" s="375"/>
      <c r="O92" s="375"/>
      <c r="P92" s="375"/>
      <c r="Q92" s="375"/>
      <c r="R92" s="375"/>
      <c r="S92" s="375"/>
      <c r="T92" s="375"/>
      <c r="U92" s="375"/>
      <c r="V92" s="375"/>
      <c r="W92" s="375"/>
      <c r="X92" s="375"/>
      <c r="Y92" s="375"/>
      <c r="Z92" s="375"/>
      <c r="AA92" s="375"/>
      <c r="AB92" s="375"/>
      <c r="AC92" s="375"/>
      <c r="AD92" s="375"/>
      <c r="AE92" s="375"/>
      <c r="AF92" s="375"/>
      <c r="AG92" s="375"/>
      <c r="AH92" s="375"/>
    </row>
    <row r="93" spans="1:34" x14ac:dyDescent="0.2">
      <c r="A93" s="375"/>
      <c r="B93" s="375"/>
      <c r="C93" s="375"/>
      <c r="D93" s="375"/>
      <c r="E93" s="375"/>
      <c r="F93" s="375"/>
      <c r="G93" s="375"/>
      <c r="H93" s="375"/>
      <c r="I93" s="375"/>
      <c r="J93" s="375"/>
      <c r="K93" s="375"/>
      <c r="L93" s="375"/>
      <c r="M93" s="375"/>
      <c r="N93" s="375"/>
      <c r="O93" s="375"/>
      <c r="P93" s="375"/>
      <c r="Q93" s="375"/>
      <c r="R93" s="375"/>
      <c r="S93" s="375"/>
      <c r="T93" s="375"/>
      <c r="U93" s="375"/>
      <c r="V93" s="375"/>
      <c r="W93" s="375"/>
      <c r="X93" s="375"/>
      <c r="Y93" s="375"/>
      <c r="Z93" s="375"/>
      <c r="AA93" s="375"/>
      <c r="AB93" s="375"/>
      <c r="AC93" s="375"/>
      <c r="AD93" s="375"/>
      <c r="AE93" s="375"/>
      <c r="AF93" s="375"/>
      <c r="AG93" s="375"/>
      <c r="AH93" s="375"/>
    </row>
    <row r="94" spans="1:34" x14ac:dyDescent="0.2">
      <c r="A94" s="375"/>
      <c r="B94" s="375"/>
      <c r="C94" s="375"/>
      <c r="D94" s="375"/>
      <c r="E94" s="375"/>
      <c r="F94" s="375"/>
      <c r="G94" s="375"/>
      <c r="H94" s="375"/>
      <c r="I94" s="375"/>
      <c r="J94" s="375"/>
      <c r="K94" s="375"/>
      <c r="L94" s="375"/>
      <c r="M94" s="375"/>
      <c r="N94" s="375"/>
      <c r="O94" s="375"/>
      <c r="P94" s="375"/>
      <c r="Q94" s="375"/>
      <c r="R94" s="375"/>
      <c r="S94" s="375"/>
      <c r="T94" s="375"/>
      <c r="U94" s="375"/>
      <c r="V94" s="375"/>
      <c r="W94" s="375"/>
      <c r="X94" s="375"/>
      <c r="Y94" s="375"/>
      <c r="Z94" s="375"/>
      <c r="AA94" s="375"/>
      <c r="AB94" s="375"/>
      <c r="AC94" s="375"/>
      <c r="AD94" s="375"/>
      <c r="AE94" s="375"/>
      <c r="AF94" s="375"/>
      <c r="AG94" s="375"/>
      <c r="AH94" s="375"/>
    </row>
    <row r="95" spans="1:34" x14ac:dyDescent="0.2">
      <c r="A95" s="375"/>
      <c r="B95" s="375"/>
      <c r="C95" s="375"/>
      <c r="D95" s="375"/>
      <c r="E95" s="375"/>
      <c r="F95" s="375"/>
      <c r="G95" s="375"/>
      <c r="H95" s="375"/>
      <c r="I95" s="375"/>
      <c r="J95" s="375"/>
      <c r="K95" s="375"/>
      <c r="L95" s="375"/>
      <c r="M95" s="375"/>
      <c r="N95" s="375"/>
      <c r="O95" s="375"/>
      <c r="P95" s="375"/>
      <c r="Q95" s="375"/>
      <c r="R95" s="375"/>
      <c r="S95" s="375"/>
      <c r="T95" s="375"/>
      <c r="U95" s="375"/>
      <c r="V95" s="375"/>
      <c r="W95" s="375"/>
      <c r="X95" s="375"/>
      <c r="Y95" s="375"/>
      <c r="Z95" s="375"/>
      <c r="AA95" s="375"/>
      <c r="AB95" s="375"/>
      <c r="AC95" s="375"/>
      <c r="AD95" s="375"/>
      <c r="AE95" s="375"/>
      <c r="AF95" s="375"/>
      <c r="AG95" s="375"/>
      <c r="AH95" s="375"/>
    </row>
    <row r="96" spans="1:34" x14ac:dyDescent="0.2">
      <c r="A96" s="375"/>
      <c r="B96" s="375"/>
      <c r="C96" s="375"/>
      <c r="D96" s="375"/>
      <c r="E96" s="375"/>
      <c r="F96" s="375"/>
      <c r="G96" s="375"/>
      <c r="H96" s="375"/>
      <c r="I96" s="375"/>
      <c r="J96" s="375"/>
      <c r="K96" s="375"/>
      <c r="L96" s="375"/>
      <c r="M96" s="375"/>
      <c r="N96" s="375"/>
      <c r="O96" s="375"/>
      <c r="P96" s="375"/>
      <c r="Q96" s="375"/>
      <c r="R96" s="375"/>
      <c r="S96" s="375"/>
      <c r="T96" s="375"/>
      <c r="U96" s="375"/>
      <c r="V96" s="375"/>
      <c r="W96" s="375"/>
      <c r="X96" s="375"/>
      <c r="Y96" s="375"/>
      <c r="Z96" s="375"/>
      <c r="AA96" s="375"/>
      <c r="AB96" s="375"/>
      <c r="AC96" s="375"/>
      <c r="AD96" s="375"/>
      <c r="AE96" s="375"/>
      <c r="AF96" s="375"/>
      <c r="AG96" s="375"/>
      <c r="AH96" s="375"/>
    </row>
    <row r="97" spans="1:34" x14ac:dyDescent="0.2">
      <c r="A97" s="375"/>
      <c r="B97" s="375"/>
      <c r="C97" s="375"/>
      <c r="D97" s="375"/>
      <c r="E97" s="375"/>
      <c r="F97" s="375"/>
      <c r="G97" s="375"/>
      <c r="H97" s="375"/>
      <c r="I97" s="375"/>
      <c r="J97" s="375"/>
      <c r="K97" s="375"/>
      <c r="L97" s="375"/>
      <c r="M97" s="375"/>
      <c r="N97" s="375"/>
      <c r="O97" s="375"/>
      <c r="P97" s="375"/>
      <c r="Q97" s="375"/>
      <c r="R97" s="375"/>
      <c r="S97" s="375"/>
      <c r="T97" s="375"/>
      <c r="U97" s="375"/>
      <c r="V97" s="375"/>
      <c r="W97" s="375"/>
      <c r="X97" s="375"/>
      <c r="Y97" s="375"/>
      <c r="Z97" s="375"/>
      <c r="AA97" s="375"/>
      <c r="AB97" s="375"/>
      <c r="AC97" s="375"/>
      <c r="AD97" s="375"/>
      <c r="AE97" s="375"/>
      <c r="AF97" s="375"/>
      <c r="AG97" s="375"/>
      <c r="AH97" s="375"/>
    </row>
    <row r="98" spans="1:34" x14ac:dyDescent="0.2">
      <c r="A98" s="375"/>
      <c r="B98" s="375"/>
      <c r="C98" s="375"/>
      <c r="D98" s="375"/>
      <c r="E98" s="375"/>
      <c r="F98" s="375"/>
      <c r="G98" s="375"/>
      <c r="H98" s="375"/>
      <c r="I98" s="375"/>
      <c r="J98" s="375"/>
      <c r="K98" s="375"/>
      <c r="L98" s="375"/>
      <c r="M98" s="375"/>
      <c r="N98" s="375"/>
      <c r="O98" s="375"/>
      <c r="P98" s="375"/>
      <c r="Q98" s="375"/>
      <c r="R98" s="375"/>
      <c r="S98" s="375"/>
      <c r="T98" s="375"/>
      <c r="U98" s="375"/>
      <c r="V98" s="375"/>
      <c r="W98" s="375"/>
      <c r="X98" s="375"/>
      <c r="Y98" s="375"/>
      <c r="Z98" s="375"/>
      <c r="AA98" s="375"/>
      <c r="AB98" s="375"/>
      <c r="AC98" s="375"/>
      <c r="AD98" s="375"/>
      <c r="AE98" s="375"/>
      <c r="AF98" s="375"/>
      <c r="AG98" s="375"/>
      <c r="AH98" s="375"/>
    </row>
    <row r="99" spans="1:34" x14ac:dyDescent="0.2">
      <c r="A99" s="375"/>
      <c r="B99" s="375"/>
      <c r="C99" s="375"/>
      <c r="D99" s="375"/>
      <c r="E99" s="375"/>
      <c r="F99" s="375"/>
      <c r="G99" s="375"/>
      <c r="H99" s="375"/>
      <c r="I99" s="375"/>
      <c r="J99" s="375"/>
      <c r="K99" s="375"/>
      <c r="L99" s="375"/>
      <c r="M99" s="375"/>
      <c r="N99" s="375"/>
      <c r="O99" s="375"/>
      <c r="P99" s="375"/>
      <c r="Q99" s="375"/>
      <c r="R99" s="375"/>
      <c r="S99" s="375"/>
      <c r="T99" s="375"/>
      <c r="U99" s="375"/>
      <c r="V99" s="375"/>
      <c r="W99" s="375"/>
      <c r="X99" s="375"/>
      <c r="Y99" s="375"/>
      <c r="Z99" s="375"/>
      <c r="AA99" s="375"/>
      <c r="AB99" s="375"/>
      <c r="AC99" s="375"/>
      <c r="AD99" s="375"/>
      <c r="AE99" s="375"/>
      <c r="AF99" s="375"/>
      <c r="AG99" s="375"/>
      <c r="AH99" s="375"/>
    </row>
    <row r="100" spans="1:34" x14ac:dyDescent="0.2">
      <c r="A100" s="375"/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5"/>
      <c r="Q100" s="375"/>
      <c r="R100" s="375"/>
      <c r="S100" s="375"/>
      <c r="T100" s="375"/>
      <c r="U100" s="375"/>
      <c r="V100" s="375"/>
      <c r="W100" s="375"/>
      <c r="X100" s="375"/>
      <c r="Y100" s="375"/>
      <c r="Z100" s="375"/>
      <c r="AA100" s="375"/>
      <c r="AB100" s="375"/>
      <c r="AC100" s="375"/>
      <c r="AD100" s="375"/>
      <c r="AE100" s="375"/>
      <c r="AF100" s="375"/>
      <c r="AG100" s="375"/>
      <c r="AH100" s="375"/>
    </row>
    <row r="101" spans="1:34" x14ac:dyDescent="0.2">
      <c r="A101" s="375"/>
      <c r="B101" s="375"/>
      <c r="C101" s="375"/>
      <c r="D101" s="375"/>
      <c r="E101" s="375"/>
      <c r="F101" s="375"/>
      <c r="G101" s="375"/>
      <c r="H101" s="375"/>
      <c r="I101" s="375"/>
      <c r="J101" s="375"/>
      <c r="K101" s="375"/>
      <c r="L101" s="375"/>
      <c r="M101" s="375"/>
      <c r="N101" s="375"/>
      <c r="O101" s="375"/>
      <c r="P101" s="375"/>
      <c r="Q101" s="375"/>
      <c r="R101" s="375"/>
      <c r="S101" s="375"/>
      <c r="T101" s="375"/>
      <c r="U101" s="375"/>
      <c r="V101" s="375"/>
      <c r="W101" s="375"/>
      <c r="X101" s="375"/>
      <c r="Y101" s="375"/>
      <c r="Z101" s="375"/>
      <c r="AA101" s="375"/>
      <c r="AB101" s="375"/>
      <c r="AC101" s="375"/>
      <c r="AD101" s="375"/>
      <c r="AE101" s="375"/>
      <c r="AF101" s="375"/>
      <c r="AG101" s="375"/>
      <c r="AH101" s="375"/>
    </row>
    <row r="102" spans="1:34" x14ac:dyDescent="0.2">
      <c r="A102" s="375"/>
      <c r="B102" s="375"/>
      <c r="C102" s="375"/>
      <c r="D102" s="375"/>
      <c r="E102" s="375"/>
      <c r="F102" s="375"/>
      <c r="G102" s="375"/>
      <c r="H102" s="375"/>
      <c r="I102" s="375"/>
      <c r="J102" s="375"/>
      <c r="K102" s="375"/>
      <c r="L102" s="375"/>
      <c r="M102" s="375"/>
      <c r="N102" s="375"/>
      <c r="O102" s="375"/>
      <c r="P102" s="375"/>
      <c r="Q102" s="375"/>
      <c r="R102" s="375"/>
      <c r="S102" s="375"/>
      <c r="T102" s="375"/>
      <c r="U102" s="375"/>
      <c r="V102" s="375"/>
      <c r="W102" s="375"/>
      <c r="X102" s="375"/>
      <c r="Y102" s="375"/>
      <c r="Z102" s="375"/>
      <c r="AA102" s="375"/>
      <c r="AB102" s="375"/>
      <c r="AC102" s="375"/>
      <c r="AD102" s="375"/>
      <c r="AE102" s="375"/>
      <c r="AF102" s="375"/>
      <c r="AG102" s="375"/>
      <c r="AH102" s="375"/>
    </row>
    <row r="103" spans="1:34" x14ac:dyDescent="0.2">
      <c r="A103" s="375"/>
      <c r="B103" s="375"/>
      <c r="C103" s="375"/>
      <c r="D103" s="375"/>
      <c r="E103" s="375"/>
      <c r="F103" s="375"/>
      <c r="G103" s="375"/>
      <c r="H103" s="375"/>
      <c r="I103" s="375"/>
      <c r="J103" s="375"/>
      <c r="K103" s="375"/>
      <c r="L103" s="375"/>
      <c r="M103" s="375"/>
      <c r="N103" s="375"/>
      <c r="O103" s="375"/>
      <c r="P103" s="375"/>
      <c r="Q103" s="375"/>
      <c r="R103" s="375"/>
      <c r="S103" s="375"/>
      <c r="T103" s="375"/>
      <c r="U103" s="375"/>
      <c r="V103" s="375"/>
      <c r="W103" s="375"/>
      <c r="X103" s="375"/>
      <c r="Y103" s="375"/>
      <c r="Z103" s="375"/>
      <c r="AA103" s="375"/>
      <c r="AB103" s="375"/>
      <c r="AC103" s="375"/>
      <c r="AD103" s="375"/>
      <c r="AE103" s="375"/>
      <c r="AF103" s="375"/>
      <c r="AG103" s="375"/>
      <c r="AH103" s="375"/>
    </row>
    <row r="104" spans="1:34" x14ac:dyDescent="0.2">
      <c r="A104" s="375"/>
      <c r="B104" s="375"/>
      <c r="C104" s="375"/>
      <c r="D104" s="375"/>
      <c r="E104" s="375"/>
      <c r="F104" s="375"/>
      <c r="G104" s="375"/>
      <c r="H104" s="375"/>
      <c r="I104" s="375"/>
      <c r="J104" s="375"/>
      <c r="K104" s="375"/>
      <c r="L104" s="375"/>
      <c r="M104" s="375"/>
      <c r="N104" s="375"/>
      <c r="O104" s="375"/>
      <c r="P104" s="375"/>
      <c r="Q104" s="375"/>
      <c r="R104" s="375"/>
      <c r="S104" s="375"/>
      <c r="T104" s="375"/>
      <c r="U104" s="375"/>
      <c r="V104" s="375"/>
      <c r="W104" s="375"/>
      <c r="X104" s="375"/>
      <c r="Y104" s="375"/>
      <c r="Z104" s="375"/>
      <c r="AA104" s="375"/>
      <c r="AB104" s="375"/>
      <c r="AC104" s="375"/>
      <c r="AD104" s="375"/>
      <c r="AE104" s="375"/>
      <c r="AF104" s="375"/>
      <c r="AG104" s="375"/>
      <c r="AH104" s="375"/>
    </row>
    <row r="105" spans="1:34" x14ac:dyDescent="0.2">
      <c r="A105" s="375"/>
      <c r="B105" s="375"/>
      <c r="C105" s="375"/>
      <c r="D105" s="375"/>
      <c r="E105" s="375"/>
      <c r="F105" s="375"/>
      <c r="G105" s="375"/>
      <c r="H105" s="375"/>
      <c r="I105" s="375"/>
      <c r="J105" s="375"/>
      <c r="K105" s="375"/>
      <c r="L105" s="375"/>
      <c r="M105" s="375"/>
      <c r="N105" s="375"/>
      <c r="O105" s="375"/>
      <c r="P105" s="375"/>
      <c r="Q105" s="375"/>
      <c r="R105" s="375"/>
      <c r="S105" s="375"/>
      <c r="T105" s="375"/>
      <c r="U105" s="375"/>
      <c r="V105" s="375"/>
      <c r="W105" s="375"/>
      <c r="X105" s="375"/>
      <c r="Y105" s="375"/>
      <c r="Z105" s="375"/>
      <c r="AA105" s="375"/>
      <c r="AB105" s="375"/>
      <c r="AC105" s="375"/>
      <c r="AD105" s="375"/>
      <c r="AE105" s="375"/>
      <c r="AF105" s="375"/>
      <c r="AG105" s="375"/>
      <c r="AH105" s="375"/>
    </row>
    <row r="106" spans="1:34" x14ac:dyDescent="0.2">
      <c r="A106" s="375"/>
      <c r="B106" s="375"/>
      <c r="C106" s="375"/>
      <c r="D106" s="375"/>
      <c r="E106" s="375"/>
      <c r="F106" s="375"/>
      <c r="G106" s="375"/>
      <c r="H106" s="375"/>
      <c r="I106" s="375"/>
      <c r="J106" s="375"/>
      <c r="K106" s="375"/>
      <c r="L106" s="375"/>
      <c r="M106" s="375"/>
      <c r="N106" s="375"/>
      <c r="O106" s="375"/>
      <c r="P106" s="375"/>
      <c r="Q106" s="375"/>
      <c r="R106" s="375"/>
      <c r="S106" s="375"/>
      <c r="T106" s="375"/>
      <c r="U106" s="375"/>
      <c r="V106" s="375"/>
      <c r="W106" s="375"/>
      <c r="X106" s="375"/>
      <c r="Y106" s="375"/>
      <c r="Z106" s="375"/>
      <c r="AA106" s="375"/>
      <c r="AB106" s="375"/>
      <c r="AC106" s="375"/>
      <c r="AD106" s="375"/>
      <c r="AE106" s="375"/>
      <c r="AF106" s="375"/>
      <c r="AG106" s="375"/>
      <c r="AH106" s="375"/>
    </row>
    <row r="107" spans="1:34" x14ac:dyDescent="0.2">
      <c r="A107" s="375"/>
      <c r="B107" s="375"/>
      <c r="C107" s="375"/>
      <c r="D107" s="375"/>
      <c r="E107" s="375"/>
      <c r="F107" s="375"/>
      <c r="G107" s="375"/>
      <c r="H107" s="375"/>
      <c r="I107" s="375"/>
      <c r="J107" s="375"/>
      <c r="K107" s="375"/>
      <c r="L107" s="375"/>
      <c r="M107" s="375"/>
      <c r="N107" s="375"/>
      <c r="O107" s="375"/>
      <c r="P107" s="375"/>
      <c r="Q107" s="375"/>
      <c r="R107" s="375"/>
      <c r="S107" s="375"/>
      <c r="T107" s="375"/>
      <c r="U107" s="375"/>
      <c r="V107" s="375"/>
      <c r="W107" s="375"/>
      <c r="X107" s="375"/>
      <c r="Y107" s="375"/>
      <c r="Z107" s="375"/>
      <c r="AA107" s="375"/>
      <c r="AB107" s="375"/>
      <c r="AC107" s="375"/>
      <c r="AD107" s="375"/>
      <c r="AE107" s="375"/>
      <c r="AF107" s="375"/>
      <c r="AG107" s="375"/>
      <c r="AH107" s="375"/>
    </row>
    <row r="108" spans="1:34" x14ac:dyDescent="0.2">
      <c r="A108" s="375"/>
      <c r="B108" s="375"/>
      <c r="C108" s="375"/>
      <c r="D108" s="375"/>
      <c r="E108" s="375"/>
      <c r="G108" s="375"/>
      <c r="H108" s="375"/>
      <c r="I108" s="375"/>
      <c r="J108" s="375"/>
      <c r="K108" s="375"/>
      <c r="L108" s="375"/>
      <c r="M108" s="375"/>
      <c r="N108" s="375"/>
      <c r="O108" s="375"/>
      <c r="P108" s="375"/>
      <c r="Q108" s="375"/>
      <c r="R108" s="375"/>
      <c r="S108" s="375"/>
      <c r="T108" s="375"/>
      <c r="U108" s="375"/>
      <c r="V108" s="375"/>
      <c r="W108" s="375"/>
      <c r="X108" s="375"/>
      <c r="Y108" s="375"/>
      <c r="Z108" s="375"/>
      <c r="AA108" s="375"/>
      <c r="AB108" s="375"/>
      <c r="AC108" s="375"/>
      <c r="AD108" s="375"/>
      <c r="AE108" s="375"/>
      <c r="AF108" s="375"/>
      <c r="AG108" s="375"/>
      <c r="AH108" s="375"/>
    </row>
    <row r="109" spans="1:34" x14ac:dyDescent="0.2">
      <c r="A109" s="375"/>
      <c r="B109" s="375"/>
      <c r="C109" s="375"/>
      <c r="D109" s="375"/>
      <c r="E109" s="375"/>
      <c r="G109" s="375"/>
      <c r="H109" s="375"/>
      <c r="I109" s="375"/>
      <c r="J109" s="375"/>
      <c r="K109" s="375"/>
      <c r="L109" s="375"/>
      <c r="M109" s="375"/>
      <c r="N109" s="375"/>
      <c r="O109" s="375"/>
      <c r="P109" s="375"/>
      <c r="Q109" s="375"/>
      <c r="R109" s="375"/>
      <c r="S109" s="375"/>
      <c r="T109" s="375"/>
      <c r="U109" s="375"/>
      <c r="V109" s="375"/>
      <c r="W109" s="375"/>
      <c r="X109" s="375"/>
      <c r="Y109" s="375"/>
      <c r="Z109" s="375"/>
      <c r="AA109" s="375"/>
      <c r="AB109" s="375"/>
      <c r="AC109" s="375"/>
      <c r="AD109" s="375"/>
      <c r="AE109" s="375"/>
      <c r="AF109" s="375"/>
      <c r="AG109" s="375"/>
      <c r="AH109" s="37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5C063-DF85-413E-B364-DFE9D502ADAE}">
  <dimension ref="A1:T22"/>
  <sheetViews>
    <sheetView workbookViewId="0">
      <selection activeCell="D3" sqref="D3"/>
    </sheetView>
  </sheetViews>
  <sheetFormatPr defaultColWidth="8.875" defaultRowHeight="15" x14ac:dyDescent="0.2"/>
  <cols>
    <col min="1" max="1" width="57.84375" customWidth="1"/>
    <col min="2" max="2" width="56.09375" customWidth="1"/>
    <col min="3" max="3" width="36.72265625" customWidth="1"/>
    <col min="4" max="4" width="57.44140625" customWidth="1"/>
    <col min="5" max="5" width="25.55859375" customWidth="1"/>
    <col min="6" max="6" width="30.265625" customWidth="1"/>
    <col min="7" max="7" width="23" customWidth="1"/>
  </cols>
  <sheetData>
    <row r="1" spans="1:20" ht="47.25" x14ac:dyDescent="0.7">
      <c r="A1" s="345" t="s">
        <v>0</v>
      </c>
      <c r="B1" s="354">
        <v>0.59987000000000001</v>
      </c>
      <c r="C1" s="209" t="s">
        <v>1</v>
      </c>
      <c r="D1" s="354">
        <v>0.59982000000000002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1:20" ht="47.25" x14ac:dyDescent="0.7">
      <c r="A2" s="345" t="s">
        <v>2</v>
      </c>
      <c r="B2" s="355">
        <v>0.59997</v>
      </c>
      <c r="C2" s="209" t="s">
        <v>3</v>
      </c>
      <c r="D2" s="355">
        <v>0.59989000000000003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</row>
    <row r="3" spans="1:20" ht="47.25" x14ac:dyDescent="0.7">
      <c r="A3" s="345" t="s">
        <v>4</v>
      </c>
      <c r="B3" s="356">
        <v>0.59977999999999998</v>
      </c>
      <c r="C3" s="209" t="s">
        <v>5</v>
      </c>
      <c r="D3" s="357">
        <v>0.60016999999999998</v>
      </c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</row>
    <row r="4" spans="1:20" ht="47.25" x14ac:dyDescent="0.7">
      <c r="A4" s="330" t="s">
        <v>6</v>
      </c>
      <c r="B4" s="331">
        <f>IF(
   AND(ISNUMBER(B1), ISNUMBER(B2), ISNUMBER(B3), ISNUMBER(D1), ISNUMBER(D2), ISNUMBER(D3)),
   AVERAGE(B1:B3, D1:D3),
   "CHECK VALUES"
)</f>
        <v>0.59991666666666676</v>
      </c>
      <c r="C4" s="331"/>
      <c r="D4" s="339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</row>
    <row r="5" spans="1:20" ht="47.25" customHeight="1" x14ac:dyDescent="0.7">
      <c r="A5" s="332"/>
      <c r="B5" s="333"/>
      <c r="C5" s="334"/>
      <c r="D5" s="340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</row>
    <row r="6" spans="1:20" ht="68.25" customHeight="1" x14ac:dyDescent="0.7">
      <c r="A6" s="358"/>
      <c r="B6" s="360" t="str">
        <f>IF(
   AND(B1&gt;D3, B1&gt;B2, B2&gt;B3, D3&gt;D2, D2&gt;D1),
   "BUY",
   IF(
      AND(B1&lt;D3, B1&lt;B2, B2&lt;B3, D3&lt;D2, D2&lt;D1),
      "SELL",
      "SELL"
)
)</f>
        <v>SELL</v>
      </c>
      <c r="C6" s="358"/>
      <c r="D6" s="341"/>
      <c r="E6" s="337"/>
      <c r="F6" s="315"/>
      <c r="G6" s="338"/>
      <c r="H6" s="316"/>
      <c r="I6" s="317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</row>
    <row r="7" spans="1:20" ht="47.25" x14ac:dyDescent="0.7">
      <c r="A7" s="358"/>
      <c r="B7" s="358">
        <f>IF(B6="BUY", 11, IF(B6="SELL", 10, 10))</f>
        <v>10</v>
      </c>
      <c r="C7" s="358"/>
      <c r="D7" s="341"/>
      <c r="E7" s="71"/>
      <c r="F7" s="318"/>
      <c r="G7" s="319"/>
      <c r="H7" s="320"/>
      <c r="I7" s="32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</row>
    <row r="8" spans="1:20" ht="47.25" x14ac:dyDescent="0.7">
      <c r="A8" s="358"/>
      <c r="B8" s="359">
        <f>MIN(10,B7)</f>
        <v>10</v>
      </c>
      <c r="C8" s="358"/>
      <c r="D8" s="341"/>
      <c r="E8" s="71"/>
      <c r="F8" s="188"/>
      <c r="G8" s="322"/>
      <c r="H8" s="279"/>
      <c r="I8" s="282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</row>
    <row r="9" spans="1:20" ht="47.25" x14ac:dyDescent="0.7">
      <c r="A9" s="329"/>
      <c r="B9" s="336"/>
      <c r="C9" s="335"/>
      <c r="D9" s="341"/>
      <c r="E9" s="71"/>
      <c r="F9" s="71"/>
      <c r="G9" s="71"/>
      <c r="H9" s="317"/>
      <c r="I9" s="248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</row>
    <row r="10" spans="1:20" ht="47.25" x14ac:dyDescent="0.7">
      <c r="A10" s="347" t="s">
        <v>121</v>
      </c>
      <c r="B10" s="347" t="s">
        <v>122</v>
      </c>
      <c r="C10" s="347" t="s">
        <v>123</v>
      </c>
      <c r="D10" s="348" t="s">
        <v>124</v>
      </c>
      <c r="E10" s="71"/>
      <c r="F10" s="323"/>
      <c r="G10" s="252"/>
      <c r="H10" s="252"/>
      <c r="I10" s="324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</row>
    <row r="11" spans="1:20" ht="62.25" x14ac:dyDescent="0.9">
      <c r="A11" s="352" t="str">
        <f>IF(AND(B4&gt;B3,B3&gt;B2,B2&gt;B1,D1&lt;D2,D2&lt;D3,B4&gt;B1), "BUY", IF(AND(B4&lt;B3,B3&lt;B2,B2&lt;B1,D1&gt;D2,D2&gt;D3,B4&lt;B1), "SELL", "SELL"))</f>
        <v>SELL</v>
      </c>
      <c r="B11" s="351" t="str">
        <f>IF(AND(B4&gt;B2,B2&gt;B1,D1&lt;D2,D3&lt;D2,B3&gt;B1), "BUY", IF(AND(B4&lt;B2,B2&lt;B1,D1&gt;D2,D3&gt;D2,B3&lt;B1), "SELL", "BUY"))</f>
        <v>BUY</v>
      </c>
      <c r="C11" s="351" t="str">
        <f>IF(
   OR(
      B1&gt;D3,
      AND(D3&gt;D2,D2&gt;D1),
      AND(B1&gt;B2,B2&gt;B3)
),
   "BUY",
   "SELL"
)</f>
        <v>BUY</v>
      </c>
      <c r="D11" s="353" t="str">
        <f>IF(AND(B4&lt;B3,B3&lt;B2,B2&lt;B1,D1&gt;D2,D2&gt;D3,B1&lt;B4), "BUY", IF(AND(B4&gt;B3,B3&gt;B2,B2&gt;B1,D1&lt;D2,D2&lt;D3,B1&gt;B4), "SELL", "BUY"))</f>
        <v>BUY</v>
      </c>
      <c r="E11" s="71"/>
      <c r="F11" s="235"/>
      <c r="G11" s="251"/>
      <c r="H11" s="251"/>
      <c r="I11" s="235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</row>
    <row r="12" spans="1:20" ht="47.25" x14ac:dyDescent="0.7">
      <c r="A12" s="350">
        <f>IF(B6="BUY", IF(B4-B1&gt;0.0004, 10, 12), IF(B1-B4&gt;0.0004, 10, 12))</f>
        <v>12</v>
      </c>
      <c r="B12" s="350">
        <f>IF(B6="SELL", IF(B2-B4&gt;0.0003, 10, 12), IF(B4-B2&gt;0.0003, 10, 12))</f>
        <v>12</v>
      </c>
      <c r="C12" s="350">
        <f>IF(B6="BUY", IF(B3-B1&gt;0.0003, 10, 12), IF(B1-B3&gt;0.0003, 10, 12))</f>
        <v>12</v>
      </c>
      <c r="D12" s="349">
        <f>IF(B6="BUY", IF(B1-B4&gt;0.0002, 10, 12), IF(B4-B1&gt;0.0002, 10, 12))</f>
        <v>12</v>
      </c>
      <c r="E12" s="71"/>
      <c r="F12" s="235"/>
      <c r="G12" s="235"/>
      <c r="H12" s="235"/>
      <c r="I12" s="235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</row>
    <row r="13" spans="1:20" ht="49.5" customHeight="1" x14ac:dyDescent="0.7">
      <c r="A13" s="71"/>
      <c r="B13" s="71"/>
      <c r="C13" s="329">
        <f>IF(B6="BUY", 11, 10)</f>
        <v>10</v>
      </c>
      <c r="D13" s="144"/>
      <c r="E13" s="71"/>
      <c r="F13" s="324"/>
      <c r="G13" s="252"/>
      <c r="H13" s="252"/>
      <c r="I13" s="235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</row>
    <row r="14" spans="1:20" ht="21" x14ac:dyDescent="0.3">
      <c r="A14" s="71"/>
      <c r="B14" s="71"/>
      <c r="C14" s="71"/>
      <c r="D14" s="144"/>
      <c r="E14" s="71"/>
      <c r="F14" s="252"/>
      <c r="G14" s="252"/>
      <c r="H14" s="252"/>
      <c r="I14" s="252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</row>
    <row r="15" spans="1:20" ht="21" x14ac:dyDescent="0.3">
      <c r="A15" s="71"/>
      <c r="B15" s="71"/>
      <c r="C15" s="71"/>
      <c r="D15" s="144"/>
      <c r="E15" s="71"/>
      <c r="F15" s="252"/>
      <c r="G15" s="325"/>
      <c r="H15" s="235"/>
      <c r="I15" s="235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</row>
    <row r="16" spans="1:20" ht="21" x14ac:dyDescent="0.3">
      <c r="A16" s="326"/>
      <c r="B16" s="327"/>
      <c r="C16" s="328"/>
      <c r="D16" s="342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</row>
    <row r="17" spans="1:20" ht="21" x14ac:dyDescent="0.3">
      <c r="A17" s="279"/>
      <c r="B17" s="279"/>
      <c r="C17" s="235"/>
      <c r="D17" s="249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</row>
    <row r="18" spans="1:20" ht="37.5" x14ac:dyDescent="0.55000000000000004">
      <c r="A18" s="309"/>
      <c r="B18" s="290"/>
      <c r="C18" s="22"/>
      <c r="D18" s="343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</row>
    <row r="19" spans="1:20" ht="34.5" x14ac:dyDescent="0.5">
      <c r="A19" s="284"/>
      <c r="B19" s="311"/>
      <c r="C19" s="312"/>
      <c r="D19" s="344"/>
      <c r="E19" s="71" t="str">
        <f>IF(AND(B4&gt;B3,B3&gt;B2,B2&gt;B1,D3&gt;D2,D2&gt;D1), "BUY",
IF(AND(B4&lt;B3,B3&lt;B2,B2&lt;B1,D3&lt;D2,D2&lt;D1), "SELL",
""))</f>
        <v/>
      </c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</row>
    <row r="20" spans="1:20" ht="37.5" x14ac:dyDescent="0.55000000000000004">
      <c r="A20" s="251"/>
      <c r="B20" s="312"/>
      <c r="C20" s="303"/>
      <c r="D20" s="249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</row>
    <row r="21" spans="1:20" ht="31.5" x14ac:dyDescent="0.45">
      <c r="A21" s="252"/>
      <c r="B21" s="134"/>
      <c r="C21" s="23"/>
      <c r="D21" s="249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</row>
    <row r="22" spans="1:20" x14ac:dyDescent="0.2"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B540-9F11-4009-B0F5-A4AFAC07641F}">
  <dimension ref="A1:D8"/>
  <sheetViews>
    <sheetView workbookViewId="0">
      <selection activeCell="F3" sqref="F3"/>
    </sheetView>
  </sheetViews>
  <sheetFormatPr defaultColWidth="8.875" defaultRowHeight="15" x14ac:dyDescent="0.2"/>
  <cols>
    <col min="1" max="1" width="44.79296875" customWidth="1"/>
    <col min="2" max="2" width="33.359375" customWidth="1"/>
    <col min="3" max="3" width="65.375" customWidth="1"/>
    <col min="4" max="4" width="68.3359375" customWidth="1"/>
  </cols>
  <sheetData>
    <row r="1" spans="1:4" ht="31.5" x14ac:dyDescent="0.45">
      <c r="A1" s="233" t="s">
        <v>0</v>
      </c>
      <c r="B1" s="296">
        <v>1.05278</v>
      </c>
      <c r="C1" s="234" t="s">
        <v>1</v>
      </c>
      <c r="D1" s="299">
        <v>1.0528999999999999</v>
      </c>
    </row>
    <row r="2" spans="1:4" ht="31.5" x14ac:dyDescent="0.45">
      <c r="A2" s="233" t="s">
        <v>2</v>
      </c>
      <c r="B2" s="297">
        <v>1.0527299999999999</v>
      </c>
      <c r="C2" s="234" t="s">
        <v>3</v>
      </c>
      <c r="D2" s="297">
        <v>1.05298</v>
      </c>
    </row>
    <row r="3" spans="1:4" ht="31.5" x14ac:dyDescent="0.45">
      <c r="A3" s="233" t="s">
        <v>4</v>
      </c>
      <c r="B3" s="298">
        <v>1.0527500000000001</v>
      </c>
      <c r="C3" s="234" t="s">
        <v>5</v>
      </c>
      <c r="D3" s="298">
        <v>1.05298</v>
      </c>
    </row>
    <row r="4" spans="1:4" ht="21" x14ac:dyDescent="0.3">
      <c r="A4" s="236" t="s">
        <v>6</v>
      </c>
      <c r="B4" s="292">
        <f>IF(
   AND(ISNUMBER(B1), ISNUMBER(B2), ISNUMBER(B3), ISNUMBER(D1), ISNUMBER(D2), ISNUMBER(D3)),
   AVERAGE(B1:B3, D1:D3),
   "CHECK VALUES"
)</f>
        <v>1.0528533333333332</v>
      </c>
      <c r="C4" s="313"/>
      <c r="D4" s="314"/>
    </row>
    <row r="5" spans="1:4" ht="37.5" x14ac:dyDescent="0.55000000000000004">
      <c r="A5" s="309" t="s">
        <v>15</v>
      </c>
      <c r="B5" s="290" t="e">
        <f>IF(B6="BUY", "Enter at 5s for 6 seconds", "Enter at 6s for 7 seconds")</f>
        <v>#REF!</v>
      </c>
      <c r="C5" s="22" t="str">
        <f>IF(
   AND(ISNUMBER(B4), ISNUMBER(B3), ISNUMBER(B2), ISNUMBER(B1),
       ISNUMBER(D3), ISNUMBER(D2), ISNUMBER(D1),
       B4 &gt; B3, B3 &gt; B2, B2 &gt; B1, D3 &gt; D2, D2 &gt; D1),
   "BUY CONFIRMED",
   "SELL CONFIRMED"
)</f>
        <v>SELL CONFIRMED</v>
      </c>
      <c r="D5" s="310" t="str">
        <f>IF(AND(ABS(B4-B3) &gt; 0.0005, ABS(B3-B2) &gt; 0.0005, ABS(B2-B1) &gt; 0.0005), "HIGH VOLATILITY - WAIT", "STABLE - SAFE TO TRADE")</f>
        <v>STABLE - SAFE TO TRADE</v>
      </c>
    </row>
    <row r="6" spans="1:4" ht="34.5" x14ac:dyDescent="0.5">
      <c r="A6" s="284"/>
      <c r="B6" s="311" t="e">
        <f>IF(#REF!="HIGH", "Enter at 6s, Expire at 12s",
IF(#REF!="MEDIUM", "Enter at 8s, Expire at 16s",
IF(#REF!="LOW", "Enter at 10s, Expire at 20s", "Check Volatility")))</f>
        <v>#REF!</v>
      </c>
      <c r="C6" s="312" t="str">
        <f>IF(AND(ABS(E1-E2) &lt; 0.01, ABS(E2-E3) &lt; 0.01), "PAYOUT STABLE - TRADE ALLOWED", "PAYOUT CHANGING - WAIT")</f>
        <v>PAYOUT STABLE - TRADE ALLOWED</v>
      </c>
      <c r="D6" s="288"/>
    </row>
    <row r="7" spans="1:4" ht="60.75" x14ac:dyDescent="0.55000000000000004">
      <c r="A7" s="251"/>
      <c r="B7" s="312" t="str">
        <f>IF(AND(B4 &gt; B3, B3 &gt; B2, D3 &gt; D2, ABS(B4-B3) &gt; 0.0001), "BUY - CONFIRMED",
   IF(AND(B4 &lt; B3, B3 &lt; B2, D3 &lt; D2, ABS(B4-B3) &gt; 0.0001), "SELL - CONFIRMED",
   "WAIT - CHECK VOLATILITY"))</f>
        <v>WAIT - CHECK VOLATILITY</v>
      </c>
      <c r="C7" s="303" t="str">
        <f>IF(AND(ROW()&gt;1, B4&lt;&gt;B3), "YES", "NO")</f>
        <v>YES</v>
      </c>
      <c r="D7" s="235"/>
    </row>
    <row r="8" spans="1:4" ht="31.5" x14ac:dyDescent="0.45">
      <c r="A8" s="252"/>
      <c r="B8" s="134" t="str">
        <f>IF(AND(ABS(B4 - D3) &lt; 0.00015, F2="NO"), "SKIP TRADE", "TRADE OK")</f>
        <v>TRADE OK</v>
      </c>
      <c r="C8" s="23" t="str">
        <f>IF(AND(B4 &gt; B3, B3 &gt; B2, D3 &gt; D2, ABS(B4 - B3) &gt; 0.0001), "BUY",
IF(AND(B4 &lt; B3, B3 &lt; B2, D3 &lt; D2, ABS(B4 - B3) &gt; 0.0001), "SELL",
"WAIT"))</f>
        <v>WAIT</v>
      </c>
      <c r="D8" s="23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9B54E-611B-4380-8EAB-FEA50B1A7F97}">
  <dimension ref="A1:X32"/>
  <sheetViews>
    <sheetView zoomScale="80" zoomScaleNormal="80" zoomScaleSheetLayoutView="100" workbookViewId="0">
      <selection activeCell="E7" sqref="E7"/>
    </sheetView>
  </sheetViews>
  <sheetFormatPr defaultColWidth="8.875" defaultRowHeight="15" x14ac:dyDescent="0.2"/>
  <cols>
    <col min="1" max="1" width="45.6015625" customWidth="1"/>
    <col min="2" max="2" width="85.015625" customWidth="1"/>
    <col min="3" max="3" width="64.83984375" customWidth="1"/>
    <col min="4" max="4" width="85.15234375" customWidth="1"/>
    <col min="5" max="5" width="29.99609375" customWidth="1"/>
    <col min="6" max="6" width="8.609375" bestFit="1" customWidth="1"/>
  </cols>
  <sheetData>
    <row r="1" spans="1:24" ht="70.5" customHeight="1" x14ac:dyDescent="0.7">
      <c r="A1" s="127" t="s">
        <v>130</v>
      </c>
      <c r="B1" s="361">
        <v>1.15883</v>
      </c>
      <c r="C1" s="127" t="s">
        <v>131</v>
      </c>
      <c r="D1" s="361">
        <v>1.15899</v>
      </c>
      <c r="E1" s="390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</row>
    <row r="2" spans="1:24" ht="72.75" customHeight="1" x14ac:dyDescent="0.7">
      <c r="A2" s="127" t="s">
        <v>132</v>
      </c>
      <c r="B2" s="361">
        <v>1.1588000000000001</v>
      </c>
      <c r="C2" s="127" t="s">
        <v>1</v>
      </c>
      <c r="D2" s="361">
        <v>1.15879</v>
      </c>
      <c r="E2" s="390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</row>
    <row r="3" spans="1:24" ht="66" customHeight="1" x14ac:dyDescent="0.7">
      <c r="A3" s="127" t="s">
        <v>133</v>
      </c>
      <c r="B3" s="361">
        <v>1.1588000000000001</v>
      </c>
      <c r="C3" s="127" t="s">
        <v>129</v>
      </c>
      <c r="D3" s="362">
        <v>1.1587700000000001</v>
      </c>
      <c r="E3" s="390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</row>
    <row r="4" spans="1:24" ht="47.25" x14ac:dyDescent="0.7">
      <c r="A4" s="336" t="s">
        <v>6</v>
      </c>
      <c r="B4" s="395">
        <f>IF(
  AND(ISNUMBER(B1), ISNUMBER(B2), ISNUMBER(B3), ISNUMBER(D1), ISNUMBER(D2), ISNUMBER(D3)),
  (B1*1 + B2*1.5 + B3*2 + D1*1 + D2*1.2 + D3*1.2) / 7.9,
  "CHECK VALUES"
)</f>
        <v>1.1588217721518987</v>
      </c>
      <c r="C4" s="363"/>
      <c r="D4" s="370"/>
      <c r="E4" s="390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</row>
    <row r="5" spans="1:24" ht="53.25" customHeight="1" x14ac:dyDescent="0.7">
      <c r="A5" s="393"/>
      <c r="B5" s="394" t="str">
        <f ca="1">IF(AND(WEEKDAY(TODAY(),2)&lt;=5, HOUR(NOW())&gt;=16, HOUR(NOW())&lt;24),
    IF(AND(D3&gt;D2,D2&gt;D1,D1&gt;B3,B3&gt;B2,B2&gt;B1)=FALSE,
        IF(AND(D3&lt;D2,D2&lt;D1,D1&lt;B3,B3&lt;B2,B2&lt;B1)=FALSE,
            IF(AND(D3-D2&gt;0,
                  (D3-D2)-(D2-D1)&gt;0,
                  AVERAGE(D1,D2,D3)-AVERAGE(B1,B2,B3)&gt;0,
                  IFERROR(AVERAGE(IF(D3&gt;D2,D3-D2,0),IF(D2&gt;D1,D2-D1,0),IF(D1&gt;B3,D1-B3,0))/
                          AVERAGE(IF(D2&gt;D3,D2-D3,0),IF(D1&gt;D2,D1-D2,0),IF(B3&gt;D1,B3-D1,0)),1)&gt;1),
                "STRONG BUY ENTRY",
                IF(AND(D3-D2&lt;0,
                      (D3-D2)-(D2-D1)&lt;0,
                      AVERAGE(D1,D2,D3)-AVERAGE(B1,B2,B3)&lt;0,
                      IFERROR(AVERAGE(IF(D3&gt;D2,D3-D2,0),IF(D2&gt;D1,D2-D1,0),IF(D1&gt;B3,D1-B3,0))/
                              AVERAGE(IF(D2&gt;D3,D2-D3,0),IF(D1&gt;D2,D1-D2,0),IF(B3&gt;D1,B3-D1,0)),1)&lt;1),
                    "STRONG SELL ENTRY",
                    IF(AND(D3-D2&lt;0,
                          D2-D1&gt;0,
                          IFERROR(AVERAGE(IF(D3&gt;D2,D3-D2,0),IF(D2&gt;D1,D2-D1,0),IF(D1&gt;B3,D1-B3,0))/
                                  AVERAGE(IF(D2&gt;D3,D2-D3,0),IF(D1&gt;D2,D1-D2,0),IF(B3&gt;D1,B3-D1,0)),1)&lt;0.8),
                        "REVERSAL BUY ENTRY",
                        IF(AND(D3-D2&gt;0,
                              D2-D1&lt;0,
                              IFERROR(AVERAGE(IF(D3&gt;D2,D3-D2,0),IF(D2&gt;D1,D2-D1,0),IF(D1&gt;B3,D1-B3,0))/
                                      AVERAGE(IF(D2&gt;D3,D2-D3,0),IF(D1&gt;D2,D1-D2,0),IF(B3&gt;D1,B3-D1,0)),1)&gt;1.2),
                            "REVERSAL SELL ENTRY",
                            IF(D3&gt;D2,"BUY","SELL")
                        )
                    )
                )
            ),
            IF(D3&gt;D2,"BUY","SELL")
        ),
        IF(D3&gt;D2,"BUY","SELL")
    ),
    ""
)</f>
        <v>SELL</v>
      </c>
      <c r="C5" s="403" t="str">
        <f ca="1">IF(AND(WEEKDAY(TODAY(),2)&lt;=5, HOUR(NOW())&gt;=16, HOUR(NOW())&lt;24),
    IF(AND(D3&gt;D2,D2&gt;D1,D1&gt;B3,B3&gt;B2,B2&gt;B1)=FALSE,
        IF(AND(D3&lt;D2,D2&lt;D1,D1&lt;B3,B3&lt;B2,B2&lt;B1)=FALSE,
            IF(AND(D3-D2&gt;0,
                  (D3-D2)-(D2-D1)&gt;0,
                  AVERAGE(D1,D2,D3)-AVERAGE(B1,B2,B3)&gt;0,
                  IFERROR(AVERAGE(IF(D3&gt;D2,D3-D2,0),IF(D2&gt;D1,D2-D1,0),IF(D1&gt;B3,D1-B3,0))/
                          AVERAGE(IF(D2&gt;D3,D2-D3,0),IF(D1&gt;D2,D1-D2,0),IF(B3&gt;D1,B3-D1,0)),1)&gt;1),
                "STRONG BUY ENTRY",
                IF(AND(D3-D2&lt;0,
                      (D3-D2)-(D2-D1)&lt;0,
                      AVERAGE(D1,D2,D3)-AVERAGE(B1,B2,B3)&lt;0,
                      IFERROR(AVERAGE(IF(D3&gt;D2,D3-D2,0),IF(D2&gt;D1,D2-D1,0),IF(D1&gt;B3,D1-B3,0))/
                              AVERAGE(IF(D2&gt;D3,D2-D3,0),IF(D1&gt;D2,D1-D2,0),IF(B3&gt;D1,B3-D1,0)),1)&lt;1),
                    "STRONG SELL ENTRY",
                    IF(AND(D3-D2&lt;0,
                          D2-D1&gt;0,
                          IFERROR(AVERAGE(IF(D3&gt;D2,D3-D2,0),IF(D2&gt;D1,D2-D1,0),IF(D1&gt;B3,D1-B3,0))/
                                  AVERAGE(IF(D2&gt;D3,D2-D3,0),IF(D1&gt;D2,D1-D2,0),IF(B3&gt;D1,B3-D1,0)),1)&lt;0.8),
                        "REVERSAL BUY ENTRY",
                        IF(AND(D3-D2&gt;0,
                              D2-D1&lt;0,
                              IFERROR(AVERAGE(IF(D3&gt;D2,D3-D2,0),IF(D2&gt;D1,D2-D1,0),IF(D1&gt;B3,D1-B3,0))/
                                      AVERAGE(IF(D2&gt;D3,D2-D3,0),IF(D1&gt;D2,D1-D2,0),IF(B3&gt;D1,B3-D1,0)),1)&gt;1.2),
                            "REVERSAL SELL ENTRY",
                            IF(D3&gt;D2,"BUY","SELL")
                        )
                    )
                )
            ),
            IF(D3&gt;D2,"BUY","SELL")
        ),
        IF(D3&gt;D2,"BUY","SELL")
    ),
    ""
)</f>
        <v>SELL</v>
      </c>
      <c r="D5" s="401" t="str" cm="1">
        <f t="array" ref="D5">_xlfn.LET(
    _xlpm.avg_back, AVERAGE(B1, B2, B3, D1, D2),
    _xlpm.price_range, MAX(B1, B2, B3, D1, D2, D3) - MIN(B1, B2, B3, D1, D2, D3) + 0.00001,
    _xlpm.overall_momentum, D3 - B1,
    _xlpm.last_leg, D3 - D2,
    _xlpm.prev_leg, D2 - D1,
    _xlpm.acceleration, _xlpm.last_leg - _xlpm.prev_leg,
    _xlpm.near_high, IF(D3 &gt;= MAX(B1, B2, B3, D1, D2, D3) * 0.999, 1, 0),
    _xlpm.near_low, IF(D3 &lt;= MIN(B1, B2, B3, D1, D2, D3) * 1.001, 1, 0),
    _xlpm.slowing, IF(ABS(_xlpm.last_leg) &lt; 0.7 * ABS(_xlpm.prev_leg), 1, 0),
    _xlpm.reversal_detected, IF(SIGN(_xlpm.last_leg) &lt;&gt; SIGN(_xlpm.prev_leg), 1, 0),
    _xlpm.trap_signal, IF(AND(_xlpm.slowing = 1, OR(_xlpm.near_high = 1, _xlpm.near_low = 1)), 1, 0),
    _xlpm.continuation_detected, IF(AND(SIGN(_xlpm.overall_momentum) = SIGN(_xlpm.last_leg), _xlpm.acceleration &gt;= 0), 1, 0),
    _xlpm.final_decision, IF(
        _xlpm.trap_signal = 1,
            IF(SIGN(_xlpm.last_leg) = 1, "TRAP SELL", "TRAP BUY"),
        IF(_xlpm.reversal_detected = 1,
            IF(SIGN(_xlpm.last_leg) = 1, "REVERSAL BUY", "REVERSAL SELL"),
        IF(_xlpm.continuation_detected = 1,
            IF(SIGN(_xlpm.last_leg) = 1, "CONTINUATION BUY", "CONTINUATION SELL"),
        IF(SIGN(_xlpm.last_leg) = 1, "WEAK BUY", "WEAK SELL")
        ))),
    _xlpm.final_decision
)</f>
        <v>TRAP BUY</v>
      </c>
      <c r="E5" s="390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</row>
    <row r="6" spans="1:24" ht="54.75" customHeight="1" x14ac:dyDescent="0.7">
      <c r="A6" s="392"/>
      <c r="B6" s="199" t="str" cm="1">
        <f t="array" aca="1" ref="B6" ca="1">_xlfn.LET(
    _xlpm.current_hour,HOUR(NOW()),
    _xlpm.current_day,WEEKDAY(NOW(),2),
    _xlpm.avg_back, AVERAGE(B1,B2,B3,D1,D2),
    _xlpm.price_range, MAX(B1,B2,B3,D1,D2,D3) - MIN(B1,B2,B3,D1,D2,D3) + 0.00001,
    _xlpm.last_leg, D3 - D2,
    _xlpm.prev_leg, D2 - D1,
    _xlpm.acceleration, _xlpm.last_leg - _xlpm.prev_leg,
    _xlpm.momentum_strength, ABS(_xlpm.last_leg) + ABS(_xlpm.acceleration),
    _xlpm.major_bias, IF(B4 &gt; _xlpm.avg_back, 1, IF(B4 &lt; _xlpm.avg_back, -1, 0)),
    _xlpm.last_pressure, (D3 - B4) / _xlpm.price_range,
    _xlpm.upper_wick, IF(D3&gt;B3, MAX(B1,B2,B3,D1,D2)-D3, MAX(B1,B2,B3,D1,D2)-B3),
    _xlpm.lower_wick, IF(D3&gt;B3, B3-MIN(B1,B2,B3,D1,D2), D3-MIN(B1,B2,B3,D1,D2)),
    _xlpm.wick_ratio, IF(_xlpm.lower_wick&gt;_xlpm.upper_wick, _xlpm.lower_wick/(_xlpm.upper_wick+0.00001), _xlpm.upper_wick/(_xlpm.lower_wick+0.00001)),
    _xlpm.momentum_filter, (D3*3 + D2*2 + D1)/6 - (B1 + B2 + B3)/3,
    _xlpm.reversal_flag, IF(SIGN(_xlpm.last_leg) &lt;&gt; SIGN(_xlpm.prev_leg), 1, 0),
    _xlpm.continuation_flag, IF(AND(SIGN(_xlpm.last_leg) = SIGN(_xlpm.prev_leg), ABS(_xlpm.acceleration) &lt; _xlpm.price_range*0.15), 1, 0),
    _xlpm.reversal_risk, IF(AND(_xlpm.wick_ratio &gt; 1.4, _xlpm.reversal_flag=1), 1, 0),
    _xlpm.dual_logic_decision,
        IF(D3&gt;D2,
            IF(_xlpm.momentum_filter&gt;0, "CONTINUATION BUY", "REVERSAL SELL"),
            IF(_xlpm.momentum_filter&lt;0, "CONTINUATION SELL", "REVERSAL BUY")
        ),
    _xlpm.adjusted_signal,
        IF(_xlpm.reversal_risk=1,
            IF(_xlpm.last_leg&gt;0, "REVERSAL BUY", "REVERSAL SELL"),
            _xlpm.dual_logic_decision
        ),
    IF(AND(_xlpm.current_day&lt;=5,_xlpm.current_hour&gt;=8,_xlpm.current_hour&lt;16),_xlpm.adjusted_signal,"")
)</f>
        <v/>
      </c>
      <c r="C6" s="405" t="str" cm="1">
        <f t="array" aca="1" ref="C6" ca="1">_xlfn.LET(
    _xlpm.avg_price, AVERAGE(B1,B2,B3,D1,D2,D3),
    _xlpm.current_time, MOD(NOW(),1),
    _xlpm.in_session, AND(_xlpm.current_time&gt;=TIME(16,0,0), _xlpm.current_time&lt;=TIME(23,59,59)),
    _xlpm.price_high, MAX(B1,B2,B3,D1,D2,D3),
    _xlpm.price_low, MIN(B1,B2,B3,D1,D2,D3),
    _xlpm.move, D3-D2,
    _xlpm.prev_move, D2-D1,
    _xlpm.accel, _xlpm.move-_xlpm.prev_move,
    _xlpm.wick_top, _xlpm.price_high-D3,
    _xlpm.wick_bottom, D3-_xlpm.price_low,
    _xlpm.wick_vs_body, ABS(D3-D2)&lt;MAX(_xlpm.wick_top,_xlpm.wick_bottom),
    _xlpm.near_high, D3&gt;=_xlpm.price_high*0.999,
    _xlpm.near_low, D3&lt;=_xlpm.price_low*1.001,
    _xlpm.above_avg, D3&gt;_xlpm.avg_price,
    _xlpm.below_avg, D3&lt;_xlpm.avg_price,
    _xlpm.rev_sell, AND(_xlpm.move&gt;0, _xlpm.accel&lt;0, _xlpm.near_high, _xlpm.below_avg, _xlpm.wick_vs_body),
    _xlpm.rev_buy, AND(_xlpm.move&lt;0, _xlpm.accel&gt;0, _xlpm.near_low, _xlpm.above_avg, _xlpm.wick_vs_body),
    _xlpm.cont_buy, AND(_xlpm.move&gt;0, _xlpm.accel&gt;0, _xlpm.above_avg, NOT(_xlpm.rev_sell)),
    _xlpm.cont_sell, AND(_xlpm.move&lt;0, _xlpm.accel&lt;0, _xlpm.below_avg, NOT(_xlpm.rev_buy)),
    _xlpm.signal_core, IF(_xlpm.rev_sell, "REVERSAL_SELL",
                IF(_xlpm.rev_buy, "REVERSAL_BUY",
                IF(_xlpm.cont_buy, "CONTINUATION_BUY",
                IF(_xlpm.cont_sell, "CONTINUATION_SELL",
                IF(_xlpm.move&gt;0, "NEUTRAL_BUY", "NEUTRAL_SELL"))))),
    IF(_xlpm.in_session,
        IF(_xlpm.current_time&lt;=TIME(20,0,0), "POWER_"&amp;_xlpm.signal_core, _xlpm.signal_core),
        "OUTSIDE HOURS"
    )
)</f>
        <v>NEUTRAL_SELL</v>
      </c>
      <c r="D6" s="404" t="str">
        <f ca="1">IF(AND(HOUR(NOW())&gt;=16,HOUR(NOW())&lt;24),
IF(
  OR(
    AND(D3&lt;D2, D2&lt;D1, D3&lt;B4, (D2-D1)&lt;(D3-D2), ABS(D3-B4)&gt;0.0002,
        MAX(B1,B2,B3,D1,D2,D3)-MIN(B1,B2,B3,D1,D2,D3)&gt;0.0004,
        (D3-MIN(B1,B2,B3,D1,D2,D3))/(MAX(B1,B2,B3,D1,D2,D3)-MIN(B1,B2,B3,D1,D2,D3))&lt;0.4),
    AND(D3&lt;D2, D3&gt;B4, (D3-D2)&lt;0.0001, D2-D1&gt;0.0002,
        (D3-AVERAGE(D1,D2))&gt;(D2-AVERAGE(B1,B2,B3)),
        D3-MIN(B1,B2,B3,D1,D2,D3)&gt;0.0001)
  ),"REVERSAL BUY",
IF(
  OR(
    AND(D3&gt;D2, D2&gt;D1, D3&gt;B4, (D3-D2)&gt;(D2-D1), ABS(D3-B4)&gt;0.0002,
        MAX(B1,B2,B3,D1,D2,D3)-MIN(B1,B2,B3,D1,D2,D3)&gt;0.0004,
        (D3-MIN(B1,B2,B3,D1,D2,D3))/(MAX(B1,B2,B3,D1,D2,D3)-MIN(B1,B2,B3,D1,D2,D3))&gt;0.6),
    AND(D3&gt;D2, D3&lt;B4, (D2-D3)&lt;0.0001, D1-D2&gt;0.0002,
        (AVERAGE(D1,D2)-D3)&gt;(AVERAGE(B1,B2,B3)-D2),
        MAX(B1,B2,B3,D1,D2,D3)-D3&gt;0.0001)
  ),"REVERSAL SELL",
IF(
  AND(D3&gt;D2, D3&gt;B4, (D3-D2)&gt;0.0001, (D2-D1)&gt;0.00005,
      AVERAGE(D1,D2,D3)&gt;AVERAGE(B1,B2,B3),
      (D3-B4)&gt;0.00005,
      (D3-AVERAGE(D1,D2))&gt;(AVERAGE(D1,D2)-D1)), "CONTINUATION BUY",
IF(
  AND(D3&lt;D2, D3&lt;B4, (D2-D3)&gt;0.0001, (D1-D2)&gt;0.00005,
      AVERAGE(D1,D2,D3)&lt;AVERAGE(B1,B2,B3),
      (B4-D3)&gt;0.00005,
      (AVERAGE(D1,D2)-D3)&gt;(D1-AVERAGE(D1,D2))), "CONTINUATION SELL",
IF(D3&gt;B4, "WEAK BUY", "WEAK SELL"))))),
"OUTSIDE HOURS")</f>
        <v>WEAK SELL</v>
      </c>
      <c r="E6" s="390" t="str">
        <f>IF(
  OR(
    AND(
      D3 &gt; D2,
      D3 - B4 &gt;= 0.0002
),
    AND(
      D3 &gt; D2,
      D3 - D2 &lt; 0.0001,
      B4 &lt; D3
)
),
  "SELL",
  IF(
    (
      IF(D3&gt;B4,1,0) +
      IF(D3&gt;D2,1,0) +
      IF(D2&gt;D1,1,0) +
      IF(D3&gt;MAX(B1,B2,B3,D1,D2),1,0) +
      IF(ABS(D3-D2)&lt;0.0015,1,0) +
      IF((D3-D2)&gt;(D2-D1),1,0)
) &gt;= 4,
    "BUY",
    "SELL"
)
)</f>
        <v>SELL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</row>
    <row r="7" spans="1:24" ht="55.5" customHeight="1" x14ac:dyDescent="0.55000000000000004">
      <c r="A7" s="391"/>
      <c r="B7" s="387" t="s">
        <v>134</v>
      </c>
      <c r="C7" s="387" t="s">
        <v>135</v>
      </c>
      <c r="D7" s="387" t="s">
        <v>136</v>
      </c>
      <c r="E7" s="390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</row>
    <row r="8" spans="1:24" ht="68.25" customHeight="1" x14ac:dyDescent="0.9">
      <c r="A8" s="390"/>
      <c r="B8" s="389" t="str" cm="1">
        <f t="array" aca="1" ref="B8" ca="1">_xlfn.LET(_xlpm.current_hour,HOUR(NOW()),_xlpm.current_day,WEEKDAY(NOW(),2),_xlpm.avg_back,AVERAGE(B1,B2,B3,D1,D2),_xlpm.price_range,MAX(B1,B2,B3,D1,D2,D3)-MIN(B1,B2,B3,D1,D2,D3)+0.00001,_xlpm.last_leg,D3-D2,_xlpm.prev_leg,D2-D1,_xlpm.acceleration,_xlpm.last_leg-_xlpm.prev_leg,_xlpm.momentum_strength,ABS(_xlpm.last_leg)+ABS(_xlpm.acceleration),_xlpm.major_bias,IF(B4&gt;_xlpm.avg_back,1,IF(B4&lt;_xlpm.avg_back,-1,0)),_xlpm.last_pressure,(D3-B4)/_xlpm.price_range,_xlpm.near_high,IF(D3&gt;=MAX(B1,B2,B3,D1,D2,D3)*0.9995,1,0),_xlpm.near_low,IF(D3&lt;=MIN(B1,B2,B3,D1,D2,D3)*1.0005,1,0),_xlpm.fake_trap_buy,IF(AND(_xlpm.near_low=1,_xlpm.last_leg&gt;0,_xlpm.acceleration&gt;_xlpm.price_range*0.1),1,0),_xlpm.fake_trap_sell,IF(AND(_xlpm.near_high=1,_xlpm.last_leg&lt;0,_xlpm.acceleration&lt;-_xlpm.price_range*0.1),1,0),_xlpm.safe_reversal,IF(AND(SIGN(_xlpm.last_leg)&lt;&gt;SIGN(_xlpm.prev_leg),ABS(_xlpm.acceleration)&gt;_xlpm.price_range*0.1),1,0),_xlpm.continuation,IF(AND(SIGN(_xlpm.last_leg)=SIGN(_xlpm.prev_leg),_xlpm.momentum_strength&gt;_xlpm.price_range*0.2),1,0),_xlpm.final_signal,IF(AND(_xlpm.current_day&lt;=5,_xlpm.current_hour&gt;=8,_xlpm.current_hour&lt;16),IF(_xlpm.fake_trap_buy=1,"TRAP BUY",IF(_xlpm.fake_trap_sell=1,"TRAP SELL",IF(_xlpm.safe_reversal=1,IF(_xlpm.last_pressure&gt;0,"REVERSAL BUY","REVERSAL SELL"),IF(_xlpm.continuation=1,IF(_xlpm.last_pressure&gt;0,"CONTINUATION BUY","CONTINUATION SELL"),IF(_xlpm.last_pressure&gt;0,"WEAK BUY","WEAK SELL"))))),""),_xlpm.final_signal)</f>
        <v/>
      </c>
      <c r="C8" s="388" t="str" cm="1">
        <f t="array" aca="1" ref="C8" ca="1">_xlfn.LET(
_xlpm.current_hour, HOUR(NOW()),
_xlpm.current_day, WEEKDAY(NOW(),2),
_xlpm.avg_back, AVERAGE(B1,B2,B3,D1,D2),
_xlpm.price_range, MAX(B1,B2,B3,D1,D2,D3)-MIN(B1,B2,B3,D1,D2,D3)+0.00001,
_xlpm.last_leg, D3-D2,
_xlpm.prev_leg, D2-D1,
_xlpm.acceleration, _xlpm.last_leg-_xlpm.prev_leg,
_xlpm.momentum_strength, ABS(_xlpm.last_leg)+ABS(_xlpm.acceleration),
_xlpm.major_bias, IF(AVERAGE(B1,B2,B3,D1,D2,D3)&gt;_xlpm.avg_back,1,IF(AVERAGE(B1,B2,B3,D1,D2,D3)&lt;_xlpm.avg_back,-1,0)),
_xlpm.last_pressure, (D3-AVERAGE(B1,B2,B3,D1,D2,D3))/_xlpm.price_range,
_xlpm.near_high, IF(D3&gt;=MAX(B1,B2,B3,D1,D2,D3)*0.9995,1,0),
_xlpm.near_low, IF(D3&lt;=MIN(B1,B2,B3,D1,D2,D3)*1.0005,1,0),
_xlpm.fake_trap_buy, IF(AND(_xlpm.near_low=1,_xlpm.last_leg&gt;0,_xlpm.acceleration&gt;_xlpm.price_range*0.1),1,0),
_xlpm.fake_trap_sell, IF(AND(_xlpm.near_high=1,_xlpm.last_leg&lt;0,_xlpm.acceleration&lt;-_xlpm.price_range*0.1),1,0),
_xlpm.safe_reversal, IF(AND(SIGN(_xlpm.last_leg)&lt;&gt;SIGN(_xlpm.prev_leg),ABS(_xlpm.acceleration)&gt;_xlpm.price_range*0.1),1,0),
_xlpm.continuation, IF(AND(SIGN(_xlpm.last_leg)=SIGN(_xlpm.prev_leg),_xlpm.momentum_strength&gt;_xlpm.price_range*0.2),1,0),
_xlpm.is_bullish_engulfing, IF(AND(D3&gt;B3,D2&lt;B2,D3&gt;B2,D2&lt;B3),1,0),
_xlpm.is_bearish_engulfing, IF(AND(D3&lt;B3,D2&gt;B2,D3&lt;B2,D2&gt;B3),1,0),
_xlpm.bpr_signal, IF(_xlpm.is_bullish_engulfing,1,IF(_xlpm.is_bearish_engulfing,-1,0)),
_xlpm.higher_high, IF(D3&gt;D1,1,0),
_xlpm.lower_low, IF(D3&lt;D1,-1,0),
_xlpm.mss_signal, IF(AND(_xlpm.higher_high=1,D3&gt;D2,D2&gt;D1),1,IF(AND(_xlpm.lower_low=-1,D3&lt;D2,D2&lt;D1),-1,0)),
_xlpm.rsi_signal, 0,
_xlpm.macd_signal, 0,
_xlpm.is_squeeze, 0,
_xlpm.volume_spike, 0,
_xlpm.is_fib_zone, IF(AND(D3&gt;=(MAX(B1,B2,B3,D1,D2,D3)-0.618*(MAX(B1,B2,B3,D1,D2,D3)-MIN(B1,B2,B3,D1,D2,D3))),D3&lt;=(MAX(B1,B2,B3,D1,D2,D3)-0.382*(MAX(B1,B2,B3,D1,D2,D3)-MIN(B1,B2,B3,D1,D2,D3)))),1,0),
_xlpm.final_signal,
IF(AND(_xlpm.current_day&lt;=5,_xlpm.current_hour&gt;=16,_xlpm.current_hour&lt;24),
    IF(AND(_xlpm.fake_trap_buy=1,_xlpm.rsi_signal=1),"STRONG TRAP BUY (RSI CONFIRMED)",
    IF(AND(_xlpm.fake_trap_sell=1,_xlpm.rsi_signal=-1),"STRONG TRAP SELL (RSI CONFIRMED)",
    IF(AND(_xlpm.safe_reversal=1,_xlpm.is_fib_zone=1),"FIB REVERSAL",
    IF(AND(_xlpm.continuation=1,_xlpm.macd_signal=1,_xlpm.volume_spike=1),"MACD VOLUME CONTINUATION",
    IF(AND(_xlpm.is_squeeze=1,_xlpm.last_pressure&gt;0),"BREAKOUT BUY (SQUEEZE)",
    IF(AND(_xlpm.is_squeeze=1,_xlpm.last_pressure&lt;0),"BREAKOUT SELL (SQUEEZE)",
    IF(AND(_xlpm.bpr_signal=1,_xlpm.mss_signal=1),"BPR+MSS BULLISH",
    IF(AND(_xlpm.bpr_signal=-1,_xlpm.mss_signal=-1),"BPR+MSS BEARISH",
    IF(_xlpm.last_pressure&gt;0,"WEAK BUY","WEAK SELL"))))))))),
""),
_xlpm.final_signal
)</f>
        <v>WEAK SELL</v>
      </c>
      <c r="D8" s="406" t="str" cm="1">
        <f t="array" aca="1" ref="D8" ca="1">_xlfn.LET(
  _xlpm.hour, HOUR(NOW()),
  _xlpm.is_overnight, IF(AND(_xlpm.hour&gt;=0, _xlpm.hour&lt;8), 1, 0),
  _xlpm.avg_back, AVERAGE(B1, B2, B3, D1, D2),
  _xlpm.price_range, MAX(B1, B2, B3, D1, D2, D3) - MIN(B1, B2, B3, D1, D2, D3) + 0.00001,
  _xlpm.last_leg, D3 - D2,
  _xlpm.prev_leg, D2 - D1,
  _xlpm.acceleration, _xlpm.last_leg - _xlpm.prev_leg,
  _xlpm.momentum_shift, (D3*3 + D2*2 + D1)/6 - (B1 + B2 + B3)/3,
  _xlpm.last_pressure, (D3 - B4) / _xlpm.price_range,
  _xlpm.reversal_flag, IF(SIGN(_xlpm.last_leg) &lt;&gt; SIGN(_xlpm.prev_leg), 1, 0),
  _xlpm.weak_downtrap, IF(AND(D3 &lt; D2, D3 &lt; B4, _xlpm.acceleration &gt; -_xlpm.price_range * 0.1), 1, 0),
  _xlpm.wick_top, MAX(B1, B2, B3, D1, D2) - D3,
  _xlpm.wick_bottom, D3 - MIN(B1, B2, B3, D1, D2),
  _xlpm.wick_ratio, IF(_xlpm.wick_bottom &gt; _xlpm.wick_top, _xlpm.wick_bottom / (_xlpm.wick_top + 0.00001), _xlpm.wick_top / (_xlpm.wick_bottom + 0.00001)),
  _xlpm.smart_reversal, IF(AND(D3 &lt; D2, _xlpm.reversal_flag = 1, _xlpm.wick_ratio &gt; 1.4), 1, 0),
  _xlpm.final_signal,
    IF(_xlpm.is_overnight = 1,
      IF(_xlpm.smart_reversal = 1, "REVERSAL BUY",
      IF(_xlpm.weak_downtrap = 1, "TRAP SELL",
      IF(D3 &gt; D2, "BUY", "SELL"))),
    "OUTSIDE HOURS"
  ),
  _xlpm.final_signal
)</f>
        <v>OUTSIDE HOURS</v>
      </c>
      <c r="E8" s="390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</row>
    <row r="9" spans="1:24" ht="55.5" customHeight="1" x14ac:dyDescent="0.5">
      <c r="A9" s="398" t="s">
        <v>137</v>
      </c>
      <c r="B9" s="209" t="s">
        <v>134</v>
      </c>
      <c r="C9" s="209" t="s">
        <v>138</v>
      </c>
      <c r="D9" s="209" t="s">
        <v>136</v>
      </c>
      <c r="E9" s="390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</row>
    <row r="10" spans="1:24" ht="65.25" customHeight="1" x14ac:dyDescent="0.7">
      <c r="A10" s="390"/>
      <c r="B10" s="397" t="str" cm="1">
        <f t="array" aca="1" ref="B10" ca="1">_xlfn.LET(
    _xlpm.current_hour, HOUR(NOW()),
    _xlpm.current_day, WEEKDAY(NOW(),2),
    _xlpm.avg_back, AVERAGE(B1, B2, B3, D1, D2, D3),
    _xlpm.price_range, MAX(B1, B2, B3, D1, D2, D3) - MIN(B1, B2, B3, D1, D2, D3) + 0.00001,
    _xlpm.last_leg, D3 - D2,
    _xlpm.prev_leg, D2 - D1,
    _xlpm.distance_from_avg, D3 - _xlpm.avg_back,
    _xlpm.reversal_risk, IF(SIGN(_xlpm.last_leg)&lt;&gt;SIGN(_xlpm.prev_leg), 1, 0),
    _xlpm.fakeout_flag, IF(ABS(_xlpm.distance_from_avg) &gt; _xlpm.price_range * 0.3, 1, 0),
    _xlpm.overextension_flag, IF(OR(D3=MAX(B1, B2, B3, D1, D2, D3), D3=MIN(B1, B2, B3, D1, D2, D3)), 1, 0),
    _xlpm.core_signal, IF(
        _xlpm.reversal_risk + _xlpm.fakeout_flag + _xlpm.overextension_flag &gt;= 1,
        IF(_xlpm.last_leg &gt; 0, "REVERSAL BUY", "REVERSAL SELL"),
        IF(_xlpm.last_leg &gt; 0, "CONTINUATION BUY", "CONTINUATION SELL")
    ),
    _xlpm.final_signal, IF(
        AND(OR(_xlpm.current_day=6, _xlpm.current_day=7), _xlpm.current_hour &gt;= 8, _xlpm.current_hour &lt; 17),
        _xlpm.core_signal,
        ""
    ),
    _xlpm.final_signal
)</f>
        <v/>
      </c>
      <c r="C10" s="396" t="str" cm="1">
        <f t="array" aca="1" ref="C10" ca="1">_xlfn.LET(
    _xlpm.current_time, NOW(),
    _xlpm.current_hour, HOUR(_xlpm.current_time),
    _xlpm.current_day, WEEKDAY(_xlpm.current_time, 2),
    _xlpm.is_weekend, OR(_xlpm.current_day=6, _xlpm.current_day=7),
    _xlpm.is_session, AND(_xlpm.current_hour&gt;=16, _xlpm.current_hour&lt;24),
    _xlpm.avg_back, AVERAGE(B1,B2,B3,D1,D2),
    _xlpm.price_range, MAX(B1,B2,B3,D1,D2,D3) - MIN(B1,B2,B3,D1,D2,D3) + 0.00001,
    _xlpm.last_leg, D3 - D2,
    _xlpm.prev_leg, D2 - D1,
    _xlpm.acceleration, (D3 - D2) - (D2 - D1),
    _xlpm.weighted_price, B1*0.1 + B2*0.15 + B3*0.2 + D1*0.2 + D2*0.2 + D3*0.15,
    _xlpm.distance_from_avg, D3 - _xlpm.avg_back,
    _xlpm.volatility, _xlfn.STDEV.P(B1,B2,B3,D1,D2,D3),
    _xlpm.fake_breakout, IF(AND(ABS(_xlpm.distance_from_avg)&gt;_xlpm.price_range*0.4, ABS(_xlpm.acceleration)&lt;_xlpm.price_range*0.1), 1, 0),
    _xlpm.overextension, IF(ABS(_xlpm.distance_from_avg)&gt;_xlpm.volatility*1.5, 1, 0),
    _xlpm.fast_snapback, IF(AND(ABS(_xlpm.acceleration)&gt;_xlpm.price_range*0.3, SIGN(_xlpm.acceleration)&lt;&gt;SIGN(_xlpm.prev_leg)), 1, 0),
    _xlpm.reversal_pressure, IF(AND(SIGN(_xlpm.last_leg)&lt;&gt;SIGN(_xlpm.prev_leg), ABS(_xlpm.last_leg)&gt;_xlpm.price_range*0.1), 1, 0),
    _xlpm.momentum_direction, IF(_xlpm.last_leg&gt;0, 1, IF(_xlpm.last_leg&lt;0, -1, 0)),
    _xlpm.signal_score, _xlpm.reversal_pressure + _xlpm.fake_breakout + _xlpm.overextension + _xlpm.fast_snapback,
    _xlpm.final_decision,
        IF(AND(_xlpm.is_weekend, _xlpm.is_session),
            IF(_xlpm.signal_score&gt;=1,
                IF(_xlpm.last_leg&gt;0, "REVERSAL SELL", "REVERSAL BUY"),
                IF(_xlpm.momentum_direction=1, "CONTINUATION BUY", "CONTINUATION SELL")
            ),
        ""
        ),
    _xlpm.final_decision
)</f>
        <v/>
      </c>
      <c r="D10" s="402" t="str">
        <f ca="1">IF(AND(OR(WEEKDAY(TODAY(),2)=6,WEEKDAY(TODAY(),2)=7),MOD(NOW(),1)&gt;=0,MOD(NOW(),1)&lt;8/24),
    IF(AND(D1&gt;D2,D2&gt;D3,B1&gt;B2,B2&gt;B3,ABS(D1-D3)&gt;0.00015,ABS(B1-B3)&gt;0.00015),"SELL STRONG",
    IF(AND(D1&lt;D2,D2&lt;D3,B1&lt;B2,B2&lt;B3,ABS(D1-D3)&gt;0.00015,ABS(B1-B3)&gt;0.00015),"BUY STRONG",
    IF(AND(D1&gt;D2,B1&gt;B2),"SELL STRONG",
    IF(AND(D1&lt;D2,B1&lt;B2),"BUY STRONG","SELL STRONG")))),
    "MARKET CLOSED")</f>
        <v>MARKET CLOSED</v>
      </c>
      <c r="E10" s="390"/>
      <c r="F10" s="390"/>
      <c r="G10" s="390"/>
      <c r="H10" s="390"/>
      <c r="I10" s="390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</row>
    <row r="11" spans="1:24" ht="65.25" customHeight="1" x14ac:dyDescent="0.7">
      <c r="A11" s="390"/>
      <c r="B11" s="400" t="s">
        <v>139</v>
      </c>
      <c r="C11" s="399" t="str" cm="1">
        <f t="array" aca="1" ref="C11" ca="1">_xlfn.LET(
  _xlpm.current_day, WEEKDAY(NOW(),2),
  _xlpm.avg_back, AVERAGE(B1,B2,B3,D1,D2),
  _xlpm.price_range, MAX(B1,B2,B3,D1,D2,D3)-MIN(B1,B2,B3,D1,D2,D3)+0.00001,
  _xlpm.last_leg, D3-D2,
  _xlpm.prev_leg, D2-D1,
  _xlpm.momentum, _xlpm.last_leg + _xlpm.prev_leg,
  _xlpm.acceleration, _xlpm.last_leg - _xlpm.prev_leg,
  _xlpm.volatility, _xlfn.STDEV.P(B1,B2,B3,D1,D2,D3)/_xlpm.price_range,
  _xlpm.upper_wick, IF(D3&gt;B3, MAX(B1,B2,B3,D1,D2)-D3, MAX(B1,B2,B3,D1,D2)-B3),
  _xlpm.lower_wick, IF(D3&gt;B3, B3-MIN(B1,B2,B3,D1,D2), D3-MIN(B1,B2,B3,D1,D2)),
  _xlpm.wick_ratio, IF(_xlpm.lower_wick&gt;_xlpm.upper_wick, _xlpm.lower_wick/(_xlpm.upper_wick+0.00001), _xlpm.upper_wick/(_xlpm.lower_wick+0.00001)),
  _xlpm.last_pressure, (D3-B4)/_xlpm.price_range,
  _xlpm.trend_strength, IF(B4&gt;_xlpm.avg_back, 1, IF(B4&lt;_xlpm.avg_back, -1, 0)),
  _xlpm.momentum_dir, IF(_xlpm.momentum&gt;0, 1, IF(_xlpm.momentum&lt;0, -1, 0)),
  _xlpm.trap_reversal, IF(
    AND(
      ABS(_xlpm.acceleration)&gt;_xlpm.price_range*0.12,
      _xlpm.wick_ratio&gt;1.4,
      _xlpm.volatility&gt;0.005,
      SIGN(_xlpm.last_leg)&lt;&gt;SIGN(_xlpm.prev_leg)
    ), 1, 0),
  _xlpm.breakout_flip, IF(
    AND(
      OR(D3&gt;=MAX(B1,B2,B3,D1,D2)*1.0004, D3&lt;=MIN(B1,B2,B3,D1,D2)*0.9996),
      _xlpm.volatility&gt;0.0045,
      _xlpm.wick_ratio&gt;1.3
    ), 1, 0),
  _xlpm.strong_trend, IF(
    AND(
      SIGN(_xlpm.last_leg)=SIGN(_xlpm.prev_leg),
      ABS(_xlpm.acceleration)&lt;_xlpm.price_range*0.1,
      _xlpm.volatility&lt;0.01,
      ABS(_xlpm.last_leg)&gt;_xlpm.price_range*0.15
    ), 1, 0),
  _xlpm.core_signal,
    IF(_xlpm.trap_reversal=1,
      IF(_xlpm.last_leg&gt;0, "REVERSAL BUY", "REVERSAL SELL"),
    IF(_xlpm.breakout_flip=1,
      IF(_xlpm.last_leg&lt;0, "REVERSAL SELL", "REVERSAL BUY"),
    IF(_xlpm.strong_trend=1,
      IF(_xlpm.momentum_dir=1, "BUY", "SELL"),
      IF(_xlpm.last_pressure&gt;0, "BUY", "SELL")))),
  _xlpm.final_signal,
    IF(OR(_xlpm.current_day=6, _xlpm.current_day=7), _xlpm.core_signal, ""),
  _xlpm.final_signal
)</f>
        <v/>
      </c>
      <c r="D11" s="392" t="str">
        <f ca="1">IF(AND(HOUR(NOW())&gt;=16,HOUR(NOW())&lt;24),
  IF(AND(D3&gt;D2,D2&gt;D1,B3&lt;B2,B2&lt;B1,
         (D3-D2)+(D2-D1)&gt;2*ABS(B3-B2),
         (D3-MIN(B1,B2,B3,D1,D2))&gt;0.5*(MAX(B1,B2,B3,D1,D2)-MIN(B1,B2,B3,D1,D2)),
         (AVERAGE(D1,D2,D3)-AVERAGE(B1,B2,B3))&gt;0.00002),
     "STRONG BUY",
  IF(AND(D3&lt;D2,D2&lt;D1,B3&gt;B2,B2&gt;B1,
         (D2-D3)+(D1-D2)&gt;2*ABS(B2-B3),
         (MAX(B1,B2,B3,D1,D2)-D3)&gt;0.5*(MAX(B1,B2,B3,D1,D2)-MIN(B1,B2,B3,D1,D2)),
         (AVERAGE(D1,D2,D3)-AVERAGE(B1,B2,B3))&lt;-0.00002),
     "STRONG SELL",
  IF(AND(D3&lt;D2,D3&lt;AVERAGE(B1,B2,B3,D1,D2),ABS(D3-D2)&lt;0.00005),"REVERSAL SELL",
  IF(AND(D3&gt;D2,D3&gt;AVERAGE(B1,B2,B3,D1,D2),ABS(D3-D2)&lt;0.00005),"REVERSAL BUY",
  IF(D3&gt;D2,"CONTINUATION BUY","CONTINUATION SELL"))))),
"")</f>
        <v>REVERSAL SELL</v>
      </c>
      <c r="E11" s="390"/>
      <c r="F11" s="390"/>
      <c r="G11" s="390"/>
      <c r="H11" s="390"/>
      <c r="I11" s="390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</row>
    <row r="12" spans="1:24" ht="72" customHeight="1" x14ac:dyDescent="0.2">
      <c r="A12" s="390"/>
      <c r="B12" s="390"/>
      <c r="C12" s="390"/>
      <c r="D12" s="390"/>
      <c r="E12" s="390"/>
      <c r="F12" s="390"/>
      <c r="G12" s="390"/>
      <c r="H12" s="390"/>
      <c r="I12" s="390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</row>
    <row r="13" spans="1:24" ht="55.5" customHeight="1" x14ac:dyDescent="0.2">
      <c r="A13" s="390"/>
      <c r="B13" s="390"/>
      <c r="C13" s="390"/>
      <c r="D13" s="390"/>
      <c r="E13" s="390"/>
      <c r="F13" s="390"/>
      <c r="G13" s="390"/>
      <c r="H13" s="390"/>
      <c r="I13" s="390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</row>
    <row r="14" spans="1:24" ht="38.25" customHeight="1" x14ac:dyDescent="0.2">
      <c r="A14" s="390"/>
      <c r="B14" s="390"/>
      <c r="C14" s="390"/>
      <c r="D14" s="390"/>
      <c r="E14" s="390"/>
      <c r="F14" s="390"/>
      <c r="G14" s="390"/>
      <c r="H14" s="390"/>
      <c r="I14" s="390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</row>
    <row r="15" spans="1:24" ht="42" customHeight="1" x14ac:dyDescent="0.2">
      <c r="A15" s="390"/>
      <c r="B15" s="390"/>
      <c r="C15" s="390"/>
      <c r="D15" s="390"/>
      <c r="E15" s="390"/>
      <c r="F15" s="390"/>
      <c r="G15" s="390"/>
      <c r="H15" s="390"/>
      <c r="I15" s="390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</row>
    <row r="16" spans="1:24" ht="48" customHeight="1" x14ac:dyDescent="0.2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4" x14ac:dyDescent="0.2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</row>
    <row r="18" spans="1:24" x14ac:dyDescent="0.2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</row>
    <row r="19" spans="1:24" x14ac:dyDescent="0.2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</row>
    <row r="20" spans="1:24" x14ac:dyDescent="0.2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</row>
    <row r="21" spans="1:24" x14ac:dyDescent="0.2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</row>
    <row r="22" spans="1:24" x14ac:dyDescent="0.2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</row>
    <row r="23" spans="1:24" x14ac:dyDescent="0.2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</row>
    <row r="24" spans="1:24" x14ac:dyDescent="0.2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</row>
    <row r="25" spans="1:24" x14ac:dyDescent="0.2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</row>
    <row r="26" spans="1:24" x14ac:dyDescent="0.2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</row>
    <row r="27" spans="1:24" x14ac:dyDescent="0.2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</row>
    <row r="28" spans="1:24" x14ac:dyDescent="0.2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</row>
    <row r="29" spans="1:24" x14ac:dyDescent="0.2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</row>
    <row r="30" spans="1:24" x14ac:dyDescent="0.2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</row>
    <row r="31" spans="1:24" x14ac:dyDescent="0.2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</row>
    <row r="32" spans="1:24" x14ac:dyDescent="0.2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F662-CEB3-4661-957C-2A0C90CC7D6D}">
  <dimension ref="A1:BK50"/>
  <sheetViews>
    <sheetView zoomScaleNormal="100" zoomScaleSheetLayoutView="100" workbookViewId="0">
      <selection activeCell="A3" sqref="A3"/>
    </sheetView>
  </sheetViews>
  <sheetFormatPr defaultRowHeight="15" x14ac:dyDescent="0.2"/>
  <cols>
    <col min="1" max="1" width="43.1796875" customWidth="1"/>
    <col min="2" max="2" width="55.2890625" customWidth="1"/>
    <col min="3" max="3" width="49.50390625" customWidth="1"/>
    <col min="4" max="4" width="58.3828125" customWidth="1"/>
    <col min="5" max="5" width="39.68359375" customWidth="1"/>
    <col min="6" max="6" width="35.6484375" customWidth="1"/>
    <col min="7" max="7" width="28.3828125" customWidth="1"/>
    <col min="8" max="8" width="23.9453125" customWidth="1"/>
    <col min="9" max="9" width="21.65625" customWidth="1"/>
  </cols>
  <sheetData>
    <row r="1" spans="1:63" ht="60" customHeight="1" x14ac:dyDescent="0.5">
      <c r="A1" s="151" t="s">
        <v>130</v>
      </c>
      <c r="B1" s="407">
        <v>1.18703</v>
      </c>
      <c r="C1" s="151" t="s">
        <v>131</v>
      </c>
      <c r="D1" s="411">
        <v>1.1873800000000001</v>
      </c>
      <c r="E1" s="390"/>
      <c r="F1" s="390"/>
      <c r="G1" s="390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  <c r="S1" s="417"/>
      <c r="T1" s="417"/>
      <c r="U1" s="417"/>
      <c r="V1" s="417"/>
      <c r="W1" s="417"/>
      <c r="X1" s="417"/>
      <c r="Y1" s="417"/>
      <c r="Z1" s="417"/>
      <c r="AA1" s="417"/>
      <c r="AB1" s="417"/>
      <c r="AC1" s="417"/>
      <c r="AD1" s="409"/>
      <c r="AE1" s="409"/>
      <c r="AF1" s="409"/>
      <c r="AG1" s="409"/>
      <c r="AH1" s="409"/>
      <c r="AI1" s="409"/>
      <c r="AJ1" s="409"/>
      <c r="AK1" s="409"/>
      <c r="AL1" s="409"/>
      <c r="AM1" s="409"/>
      <c r="AN1" s="409"/>
      <c r="AO1" s="409"/>
      <c r="AP1" s="409"/>
      <c r="AQ1" s="409"/>
      <c r="AR1" s="409"/>
      <c r="AS1" s="409"/>
      <c r="AT1" s="409"/>
      <c r="AU1" s="409"/>
      <c r="AV1" s="409"/>
      <c r="AW1" s="409"/>
      <c r="AX1" s="409"/>
      <c r="AY1" s="409"/>
      <c r="AZ1" s="409"/>
      <c r="BA1" s="409"/>
      <c r="BB1" s="409"/>
      <c r="BC1" s="409"/>
      <c r="BD1" s="409"/>
      <c r="BE1" s="409"/>
      <c r="BF1" s="409"/>
      <c r="BG1" s="409"/>
      <c r="BH1" s="409"/>
      <c r="BI1" s="409"/>
      <c r="BJ1" s="409"/>
      <c r="BK1" s="409"/>
    </row>
    <row r="2" spans="1:63" ht="58.5" customHeight="1" x14ac:dyDescent="0.5">
      <c r="A2" s="151" t="s">
        <v>132</v>
      </c>
      <c r="B2" s="407">
        <v>1.18713</v>
      </c>
      <c r="C2" s="151" t="s">
        <v>1</v>
      </c>
      <c r="D2" s="411">
        <v>1.1873100000000001</v>
      </c>
      <c r="E2" s="390"/>
      <c r="F2" s="390"/>
      <c r="G2" s="390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7"/>
      <c r="AB2" s="417"/>
      <c r="AC2" s="417"/>
      <c r="AD2" s="409"/>
      <c r="AE2" s="409"/>
      <c r="AF2" s="409"/>
      <c r="AG2" s="409"/>
      <c r="AH2" s="409"/>
      <c r="AI2" s="409"/>
      <c r="AJ2" s="409"/>
      <c r="AK2" s="409"/>
      <c r="AL2" s="409"/>
      <c r="AM2" s="409"/>
      <c r="AN2" s="409"/>
      <c r="AO2" s="409"/>
      <c r="AP2" s="409"/>
      <c r="AQ2" s="409"/>
      <c r="AR2" s="409"/>
      <c r="AS2" s="409"/>
      <c r="AT2" s="409"/>
      <c r="AU2" s="409"/>
      <c r="AV2" s="409"/>
      <c r="AW2" s="409"/>
      <c r="AX2" s="409"/>
      <c r="AY2" s="409"/>
      <c r="AZ2" s="409"/>
      <c r="BA2" s="409"/>
      <c r="BB2" s="409"/>
      <c r="BC2" s="409"/>
      <c r="BD2" s="409"/>
      <c r="BE2" s="409"/>
      <c r="BF2" s="409"/>
      <c r="BG2" s="409"/>
      <c r="BH2" s="409"/>
      <c r="BI2" s="409"/>
      <c r="BJ2" s="409"/>
      <c r="BK2" s="409"/>
    </row>
    <row r="3" spans="1:63" ht="51.75" customHeight="1" x14ac:dyDescent="0.5">
      <c r="A3" s="151" t="s">
        <v>133</v>
      </c>
      <c r="B3" s="407">
        <v>1.1871799999999999</v>
      </c>
      <c r="C3" s="151" t="s">
        <v>129</v>
      </c>
      <c r="D3" s="412">
        <v>1.1870000000000001</v>
      </c>
      <c r="E3" s="390"/>
      <c r="F3" s="390"/>
      <c r="G3" s="390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09"/>
      <c r="AE3" s="409"/>
      <c r="AF3" s="409"/>
      <c r="AG3" s="409"/>
      <c r="AH3" s="409"/>
      <c r="AI3" s="409"/>
      <c r="AJ3" s="409"/>
      <c r="AK3" s="409"/>
      <c r="AL3" s="409"/>
      <c r="AM3" s="409"/>
      <c r="AN3" s="409"/>
      <c r="AO3" s="409"/>
      <c r="AP3" s="409"/>
      <c r="AQ3" s="409"/>
      <c r="AR3" s="409"/>
      <c r="AS3" s="409"/>
      <c r="AT3" s="409"/>
      <c r="AU3" s="409"/>
      <c r="AV3" s="409"/>
      <c r="AW3" s="409"/>
      <c r="AX3" s="409"/>
      <c r="AY3" s="409"/>
      <c r="AZ3" s="409"/>
      <c r="BA3" s="409"/>
      <c r="BB3" s="409"/>
      <c r="BC3" s="409"/>
      <c r="BD3" s="409"/>
      <c r="BE3" s="409"/>
      <c r="BF3" s="409"/>
      <c r="BG3" s="409"/>
      <c r="BH3" s="409"/>
      <c r="BI3" s="409"/>
      <c r="BJ3" s="409"/>
      <c r="BK3" s="409"/>
    </row>
    <row r="4" spans="1:63" ht="47.25" x14ac:dyDescent="0.7">
      <c r="A4" s="408" t="s">
        <v>140</v>
      </c>
      <c r="B4" s="395">
        <f>IF(
  AND(ISNUMBER(B1), ISNUMBER(B2), ISNUMBER(B3), ISNUMBER(D1), ISNUMBER(D2), ISNUMBER(D3)),
  (B1*1 + B2*1.5 + B3*2 + D1*1 + D2*1.2 + D3*1.2) / 7.9,
  "CHECK VALUES"
)</f>
        <v>1.187169240506329</v>
      </c>
      <c r="C4" s="363"/>
      <c r="D4" s="413"/>
      <c r="E4" s="390"/>
      <c r="F4" s="390"/>
      <c r="G4" s="390"/>
      <c r="H4" s="417"/>
      <c r="I4" s="417"/>
      <c r="J4" s="417"/>
      <c r="K4" s="417"/>
      <c r="L4" s="417"/>
      <c r="M4" s="417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7"/>
      <c r="AC4" s="417"/>
      <c r="AD4" s="409"/>
      <c r="AE4" s="409"/>
      <c r="AF4" s="409"/>
      <c r="AG4" s="409"/>
      <c r="AH4" s="409"/>
      <c r="AI4" s="409"/>
      <c r="AJ4" s="409"/>
      <c r="AK4" s="409"/>
      <c r="AL4" s="409"/>
      <c r="AM4" s="409"/>
      <c r="AN4" s="409"/>
      <c r="AO4" s="409"/>
      <c r="AP4" s="409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</row>
    <row r="5" spans="1:63" ht="31.5" customHeight="1" x14ac:dyDescent="0.7">
      <c r="A5" s="393"/>
      <c r="B5" s="429"/>
      <c r="C5" s="421"/>
      <c r="D5" s="414"/>
      <c r="E5" s="390"/>
      <c r="F5" s="390"/>
      <c r="G5" s="390"/>
      <c r="H5" s="417"/>
      <c r="I5" s="417"/>
      <c r="J5" s="417"/>
      <c r="K5" s="417"/>
      <c r="L5" s="417"/>
      <c r="M5" s="417"/>
      <c r="N5" s="417"/>
      <c r="O5" s="417"/>
      <c r="P5" s="417"/>
      <c r="Q5" s="417"/>
      <c r="R5" s="417"/>
      <c r="S5" s="417"/>
      <c r="T5" s="417"/>
      <c r="U5" s="417"/>
      <c r="V5" s="417"/>
      <c r="W5" s="417"/>
      <c r="X5" s="417"/>
      <c r="Y5" s="417"/>
      <c r="Z5" s="417"/>
      <c r="AA5" s="417"/>
      <c r="AB5" s="417"/>
      <c r="AC5" s="417"/>
      <c r="AD5" s="409"/>
      <c r="AE5" s="409"/>
      <c r="AF5" s="409"/>
      <c r="AG5" s="409"/>
      <c r="AH5" s="409"/>
      <c r="AI5" s="409"/>
      <c r="AJ5" s="409"/>
      <c r="AK5" s="409"/>
      <c r="AL5" s="409"/>
      <c r="AM5" s="409"/>
      <c r="AN5" s="409"/>
      <c r="AO5" s="409"/>
      <c r="AP5" s="409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</row>
    <row r="6" spans="1:63" ht="63" x14ac:dyDescent="0.7">
      <c r="A6" s="392"/>
      <c r="B6" s="433" t="s">
        <v>141</v>
      </c>
      <c r="C6" s="438" t="str">
        <f>IF(
  OR(
    AND(
      D3&gt;MAX(B1,B2,B3,D1,D2)*1.0003,
      (D3-D2)&lt;=(D2-D1)*0.3,
      D3&gt;B4*1.0002,
      (D3-B4)&lt;=(MAX(B1,B2,B3)-MIN(B1,B2,B3))*0.4
    ),
    AND(
      D3&lt;MIN(B1,B2,B3,D1,D2)*0.9997,
      (D2-D3)&lt;=(D1-D2)*0.3,
      D3&lt;B4*0.9998,
      (B4-D3)&lt;=(MAX(B1,B2,B3)-MIN(B1,B2,B3))*0.4
    )
  ),
  IF(D3&gt;MAX(B1,B2,B3,D1,D2), "SELL", "BUY"),
  IF(
    (
      IF(D3&gt;D2,1,0)+
      IF(D2&gt;D1,1,0)+
      IF((D3-D2)&gt;(D2-D1)*0.8,1,0)+
      IF(D3&gt;B4,1,0)+
      IF(D3&gt;(B1*0.1+B2*0.2+B3*0.3+D1*0.4),1,0)+
      IF((D1+D2+D3)/3&gt;(B1+B2+B3)/3,1,0)+
      IF(D3&gt;((B1+B2+B3+D1+D2)*0.2+D3*0.8)/2,1,0)+
      IF(AND(
        (D3-MIN(B1,B2,B3,D1,D2,D3))/(MAX(B1,B2,B3,D1,D2,D3)-MIN(B1,B2,B3,D1,D2,D3))&gt;0.3,
        (D3-MIN(B1,B2,B3,D1,D2,D3))/(MAX(B1,B2,B3,D1,D2,D3)-MIN(B1,B2,B3,D1,D2,D3))&lt;0.8
      ),1,0)+
      IF((D3-B4)&gt;(MAX(B1,B2,B3)-MIN(B1,B2,B3))*0.2,1,0)+
      IF(ABS(D3-D2)&gt;ABS(D2-D1)*0.9,1,0)+
      IF(ABS(D3-B4)&gt;=0.0002,1,0)+
      IF(((D2+D3)/2-(B2+B3)/2)&gt;((D1+D2)/2-(B1+B2)/2),1,0)+
      IF((D3-D1)&gt;(B3-B1),1,0)+
      IF(AND(
        (D3-MIN(B1,B2,B3,D1,D2))/(MAX(B1,B2,B3,D1,D2)-MIN(B1,B2,B3,D1,D2))&gt;0.2,
        (D3-MIN(B1,B2,B3,D1,D2))/(MAX(B1,B2,B3,D1,D2)-MIN(B1,B2,B3,D1,D2))&lt;0.9
      ),1,0)
    )&gt;=8,
    "BUY",
    IF(
      (
        IF(D3&lt;D2,1,0)+
        IF(D2&lt;D1,1,0)+
        IF((D2-D3)&gt;(D1-D2)*0.8,1,0)+
        IF(D3&lt;B4,1,0)+
        IF(D3&lt;(B1*0.1+B2*0.2+B3*0.3+D1*0.4),1,0)+
        IF((D1+D2+D3)/3&lt;(B1+B2+B3)/3,1,0)+
        IF(D3&lt;((B1+B2+B3+D1+D2)*0.2+D3*0.8)/2,1,0)+
        IF(AND(
          (D3-MIN(B1,B2,B3,D1,D2,D3))/(MAX(B1,B2,B3,D1,D2,D3)-MIN(B1,B2,B3,D1,D2,D3))&gt;0.2,
          (D3-MIN(B1,B2,B3,D1,D2,D3))/(MAX(B1,B2,B3,D1,D2,D3)-MIN(B1,B2,B3,D1,D2,D3))&lt;0.7
        ),1,0)+
        IF((B4-D3)&gt;(MAX(B1,B2,B3)-MIN(B1,B2,B3))*0.2,1,0)+
        IF(ABS(D3-D2)&gt;ABS(D2-D1)*0.9,1,0)+
        IF(ABS(B4-D3)&gt;=0.0002,1,0)+
        IF(((D2+D3)/2-(B2+B3)/2)&lt;((D1+D2)/2-(B1+B2)/2),1,0)+
        IF((D3-D1)&lt;(B3-B1),1,0)+
        IF(AND(
          (D3-MIN(B1,B2,B3,D1,D2))/(MAX(B1,B2,B3,D1,D2)-MIN(B1,B2,B3,D1,D2))&gt;0.1,
          (D3-MIN(B1,B2,B3,D1,D2))/(MAX(B1,B2,B3,D1,D2)-MIN(B1,B2,B3,D1,D2))&lt;0.8
        ),1,0)
      )&gt;=8,
      "SELL",
      IF(
        (D3-D2)*2+(D2-D1)+(D3-B4)*1.5 &gt;
        (ABS(D3-D2)+ABS(D2-D1)+ABS(D3-B4))*0.1,
        "BUY",
        "SELL"
      )
    )
  )
)</f>
        <v>SELL</v>
      </c>
      <c r="D6" s="437" t="str">
        <f>IF(
  OR(
    AND(
      SIGN(D3-D2)&lt;&gt;SIGN(D2-D1),
      ABS((D3-D2)-(D2-D1))&gt;((MAX(B1,B2,B3,D1,D2,D3)-MIN(B1,B2,B3,D1,D2,D3)+0.00001)*0.08),
      IF(IF(D3&gt;B3,B3-MIN(B1,B2,B3,D1,D2),D3-MIN(B1,B2,B3,D1,D2))&gt;IF(D3&gt;B3,MAX(B1,B2,B3,D1,D2)-D3,MAX(B1,B2,B3,D1,D2)-B3),
         IF(D3&gt;B3,B3-MIN(B1,B2,B3,D1,D2),D3-MIN(B1,B2,B3,D1,D2))/(IF(D3&gt;B3,MAX(B1,B2,B3,D1,D2)-D3,MAX(B1,B2,B3,D1,D2)-B3)+0.00001),
         IF(D3&gt;B3,MAX(B1,B2,B3,D1,D2)-D3,MAX(B1,B2,B3,D1,D2)-B3)/(IF(D3&gt;B3,B3-MIN(B1,B2,B3,D1,D2),D3-MIN(B1,B2,B3,D1,D2))+0.00001)
      )&gt;1.25
    ),
    AND(
      D3&gt;=MAX(B1,B2,B3,D1,D2,D3)*1.00025,
      (D3-D2)&lt;=(D2-D1)*0.35,
      D3&gt;=B4*1.0001,
      (D3-B4)&lt;=(MAX(B1,B2,B3)-MIN(B1,B2,B3))*0.35
    ),
    AND(
      D3&lt;=MIN(B1,B2,B3,D1,D2,D3)*0.99975,
      (D2-D3)&lt;=(D1-D2)*0.35,
      D3&lt;=B4*0.9999,
      (B4-D3)&lt;=(MAX(B1,B2,B3)-MIN(B1,B2,B3))*0.35
    )
  ),
  IF(D3&gt;MAX(B1,B2,B3,D1,D2),"SELL","BUY"),
  IF(
    AND(
      ABS((D3-D2)-(D2-D1))&gt;((MAX(B1,B2,B3,D1,D2,D3)-MIN(B1,B2,B3,D1,D2,D3)+0.00001)*0.1),
      IF(IF(D3&gt;B3,B3-MIN(B1,B2,B3,D1,D2),D3-MIN(B1,B2,B3,D1,D2))&gt;IF(D3&gt;B3,MAX(B1,B2,B3,D1,D2)-D3,MAX(B1,B2,B3,D1,D2)-B3),
         IF(D3&gt;B3,B3-MIN(B1,B2,B3,D1,D2),D3-MIN(B1,B2,B3,D1,D2))/(IF(D3&gt;B3,MAX(B1,B2,B3,D1,D2)-D3,MAX(B1,B2,B3,D1,D2)-B3)+0.00001),
         IF(D3&gt;B3,MAX(B1,B2,B3,D1,D2)-D3,MAX(B1,B2,B3,D1,D2)-B3)/(IF(D3&gt;B3,B3-MIN(B1,B2,B3,D1,D2),D3-MIN(B1,B2,B3,D1,D2))+0.00001)
      )&gt;1.35,
      (_xlfn.STDEV.P(B1,B2,B3,D1,D2,D3)/(MAX(B1,B2,B3,D1,D2,D3)-MIN(B1,B2,B3,D1,D2,D3)+0.00001))&gt;0.0045,
      SIGN(D3-D2)&lt;&gt;SIGN(D2-D1)
    ),
    IF(D3-D2&gt;0,"BUY","SELL"),
    IF(
      AND(
        OR(D3&gt;=MAX(B1,B2,B3,D1,D2)*1.00035,D3&lt;=MIN(B1,B2,B3,D1,D2)*0.99965),
        (_xlfn.STDEV.P(B1,B2,B3,D1,D2,D3)/(MAX(B1,B2,B3,D1,D2,D3)-MIN(B1,B2,B3,D1,D2,D3)+0.00001))&gt;0.004,
        IF(IF(D3&gt;B3,B3-MIN(B1,B2,B3,D1,D2),D3-MIN(B1,B2,B3,D1,D2))&gt;IF(D3&gt;B3,MAX(B1,B2,B3,D1,D2)-D3,MAX(B1,B2,B3,D1,D2)-B3),
           IF(D3&gt;B3,B3-MIN(B1,B2,B3,D1,D2),D3-MIN(B1,B2,B3,D1,D2))/(IF(D3&gt;B3,MAX(B1,B2,B3,D1,D2)-D3,MAX(B1,B2,B3,D1,D2)-B3)+0.00001),
           IF(D3&gt;B3,MAX(B1,B2,B3,D1,D2)-D3,MAX(B1,B2,B3,D1,D2)-B3)/(IF(D3&gt;B3,B3-MIN(B1,B2,B3,D1,D2),D3-MIN(B1,B2,B3,D1,D2))+0.00001)
        )&gt;1.3
      ),
      IF(D3-D2&lt;0,"SELL","BUY"),
      IF(
        AND(
          SIGN(D3-D2)=SIGN(D2-D1),
          ABS((D3-D2)-(D2-D1))&lt;((MAX(B1,B2,B3,D1,D2,D3)-MIN(B1,B2,B3,D1,D2,D3)+0.00001)*0.08),
          (_xlfn.STDEV.P(B1,B2,B3,D1,D2,D3)/(MAX(B1,B2,B3,D1,D2,D3)-MIN(B1,B2,B3,D1,D2,D3)+0.00001))&lt;0.009,
          ABS(D3-D2)&gt;((MAX(B1,B2,B3,D1,D2,D3)-MIN(B1,B2,B3,D1,D2,D3)+0.00001)*0.14)
        ),
        IF(((D3-D2)+(D2-D1))&gt;0,"BUY","SELL"),
        IF(
          ((D3-AVERAGE(B1,B2,B3,D1,D2,D3))/(MAX(B1,B2,B3,D1,D2,D3)-MIN(B1,B2,B3,D1,D2,D3)+0.00001))&gt;0,
          "BUY","SELL"
        )
      )
    )
  )
)</f>
        <v>SELL</v>
      </c>
      <c r="E6" s="399" t="str">
        <f>IF(
  (
    IF(D3&gt;D2,1,0)
    +IF(D2&gt;D1,1,0)
    +IF((D3-D2)&gt;(D2-D1)*0.8,1,0)
    +IF(D3&gt;B4,1,0)
    +IF((D1+D2+D3)/3&gt;(B1+B2+B3)/3,1,0)
    +IF((D3-MIN(B1,B2,B3,D1,D2,D3))/(MAX(B1,B2,B3,D1,D2,D3)-MIN(B1,B2,B3,D1,D2,D3))&gt;0.62,1,0)
    +IF((D3-B4)&gt;((MAX(B1,B2,B3)-MIN(B1,B2,B3))*0.22),1,0)
    +IF(AND(ABS(D3-D2)&gt;ABS(D2-D1)*1.6,D3&gt;D2),1,0)
    +IF(AND(SIGN(D3-D2)=1,SIGN(D3-D2)&lt;&gt;SIGN(D2-D1),ABS(D3-D2)&gt;ABS(D2-D1)*2,ABS(D3-D2)&gt;( (MAX(B1,B2,B3,D1,D2,D3)-MIN(B1,B2,B3,D1,D2,D3))*0.02)), -2,0)
  )
  &gt;=
  (
    IF(D3&lt;D2,1,0)
    +IF(D2&lt;D1,1,0)
    +IF((D2-D3)&gt;(D1-D2)*0.8,1,0)
    +IF(D3&lt;B4,1,0)
    +IF((D1+D2+D3)/3&lt;(B1+B2+B3)/3,1,0)
    +IF((D3-MIN(B1,B2,B3,D1,D2,D3))/(MAX(B1,B2,B3,D1,D2,D3)-MIN(B1,B2,B3,D1,D2,D3))&lt;0.38,1,0)
    +IF((B4-D3)&gt;((MAX(B1,B2,B3)-MIN(B1,B2,B3))*0.22),1,0)
    +IF(AND(ABS(D3-D2)&gt;ABS(D2-D1)*1.6,D3&lt;D2),1,0)
    +IF(AND(SIGN(D3-D2)=-1,SIGN(D3-D2)&lt;&gt;SIGN(D2-D1),ABS(D3-D2)&gt;ABS(D2-D1)*2,ABS(D3-D2)&gt;( (MAX(B1,B2,B3,D1,D2,D3)-MIN(B1,B2,B3,D1,D2,D3))*0.02)), -2,0)
  ),
 "BUY",
 "SELL"
)</f>
        <v>SELL</v>
      </c>
      <c r="F6" s="390"/>
      <c r="G6" s="390"/>
      <c r="H6" s="417"/>
      <c r="I6" s="417"/>
      <c r="J6" s="417"/>
      <c r="K6" s="417"/>
      <c r="L6" s="417"/>
      <c r="M6" s="417"/>
      <c r="N6" s="417"/>
      <c r="O6" s="417"/>
      <c r="P6" s="417"/>
      <c r="Q6" s="417"/>
      <c r="R6" s="417"/>
      <c r="S6" s="417"/>
      <c r="T6" s="417"/>
      <c r="U6" s="417"/>
      <c r="V6" s="417"/>
      <c r="W6" s="417"/>
      <c r="X6" s="417"/>
      <c r="Y6" s="417"/>
      <c r="Z6" s="417"/>
      <c r="AA6" s="417"/>
      <c r="AB6" s="417"/>
      <c r="AC6" s="417"/>
      <c r="AD6" s="409"/>
      <c r="AE6" s="409"/>
      <c r="AF6" s="409"/>
      <c r="AG6" s="409"/>
      <c r="AH6" s="409"/>
      <c r="AI6" s="409"/>
      <c r="AJ6" s="409"/>
      <c r="AK6" s="409"/>
      <c r="AL6" s="409"/>
      <c r="AM6" s="409"/>
      <c r="AN6" s="409"/>
      <c r="AO6" s="409"/>
      <c r="AP6" s="409"/>
      <c r="AQ6" s="409"/>
      <c r="AR6" s="409"/>
      <c r="AS6" s="409"/>
      <c r="AT6" s="409"/>
      <c r="AU6" s="409"/>
      <c r="AV6" s="409"/>
      <c r="AW6" s="409"/>
      <c r="AX6" s="409"/>
      <c r="AY6" s="409"/>
      <c r="AZ6" s="409"/>
      <c r="BA6" s="409"/>
      <c r="BB6" s="409"/>
      <c r="BC6" s="409"/>
      <c r="BD6" s="409"/>
      <c r="BE6" s="409"/>
      <c r="BF6" s="409"/>
      <c r="BG6" s="409"/>
      <c r="BH6" s="409"/>
      <c r="BI6" s="409"/>
      <c r="BJ6" s="409"/>
      <c r="BK6" s="409"/>
    </row>
    <row r="7" spans="1:63" ht="42.75" customHeight="1" x14ac:dyDescent="0.5">
      <c r="A7" s="391"/>
      <c r="B7" s="205" t="s">
        <v>142</v>
      </c>
      <c r="C7" s="205" t="s">
        <v>143</v>
      </c>
      <c r="D7" s="415" t="s">
        <v>144</v>
      </c>
      <c r="E7" s="205" t="s">
        <v>145</v>
      </c>
      <c r="F7" s="390"/>
      <c r="G7" s="390"/>
      <c r="H7" s="417"/>
      <c r="I7" s="417"/>
      <c r="J7" s="417"/>
      <c r="K7" s="417"/>
      <c r="L7" s="417"/>
      <c r="M7" s="417"/>
      <c r="N7" s="417"/>
      <c r="O7" s="417"/>
      <c r="P7" s="417"/>
      <c r="Q7" s="417"/>
      <c r="R7" s="417"/>
      <c r="S7" s="417"/>
      <c r="T7" s="417"/>
      <c r="U7" s="417"/>
      <c r="V7" s="417"/>
      <c r="W7" s="417"/>
      <c r="X7" s="417"/>
      <c r="Y7" s="417"/>
      <c r="Z7" s="417"/>
      <c r="AA7" s="417"/>
      <c r="AB7" s="417"/>
      <c r="AC7" s="417"/>
      <c r="AD7" s="409"/>
      <c r="AE7" s="409"/>
      <c r="AF7" s="409"/>
      <c r="AG7" s="409"/>
      <c r="AH7" s="409"/>
      <c r="AI7" s="409"/>
      <c r="AJ7" s="409"/>
      <c r="AK7" s="409"/>
      <c r="AL7" s="409"/>
      <c r="AM7" s="409"/>
      <c r="AN7" s="409"/>
      <c r="AO7" s="409"/>
      <c r="AP7" s="409"/>
      <c r="AQ7" s="409"/>
      <c r="AR7" s="409"/>
      <c r="AS7" s="409"/>
      <c r="AT7" s="409"/>
      <c r="AU7" s="409"/>
      <c r="AV7" s="409"/>
      <c r="AW7" s="409"/>
      <c r="AX7" s="409"/>
      <c r="AY7" s="409"/>
      <c r="AZ7" s="409"/>
      <c r="BA7" s="409"/>
      <c r="BB7" s="409"/>
      <c r="BC7" s="409"/>
      <c r="BD7" s="409"/>
      <c r="BE7" s="409"/>
      <c r="BF7" s="409"/>
      <c r="BG7" s="409"/>
      <c r="BH7" s="409"/>
      <c r="BI7" s="409"/>
      <c r="BJ7" s="409"/>
      <c r="BK7" s="409"/>
    </row>
    <row r="8" spans="1:63" ht="33" customHeight="1" x14ac:dyDescent="0.2">
      <c r="A8" s="390"/>
      <c r="B8" s="430" t="str">
        <f>IF(AND(
  D3&gt;MAX(B1,B2,B3),
  D2&lt;D3,
  ABS(D3-D2)&gt;0.00025,
  ABS(D3-B4)&gt;0.00035,
  D3&gt;AVERAGE(D1,D2),
  D3&gt;MAX(D1,D2)+0.0002
), "SELL",
IF(AND(
  B1&gt;B2,B2&gt;B3,
  D1&lt;D2,D2&lt;D3,
  D3&gt;AVERAGE(B1,B2,B3,D1,D2),
  D3&gt;B4+0.00005,
  ABS(D3-B4)&gt;ABS(D2-D1)),
"BUY",
IF(AND(
  B1&lt;B2,B2&lt;B3,
  D1&gt;D2,D2&gt;D3,
  D3&lt;AVERAGE(B1,B2,B3,D1,D2),
  D3&lt;B4-0.00005,
  ABS(D3-B4)&gt;ABS(D2-D1)),
"SELL",
IF(AND(
  B1&lt;B2,B2&lt;B3,
  D1&lt;D2,D2&lt;D3,
  D3&gt;MAX(B1,B2,B3),
  ABS(D3-B4)&lt;=0.0004,
  ABS(D3-D2)&gt;ABS(D2-D1)),
"BUY",
IF(AND(
  B1&gt;B2,B2&gt;B3,
  D1&gt;D2,D2&gt;D3,
  D3&lt;MIN(B1,B2,B3),
  ABS(D3-B4)&lt;=0.0004,
  ABS(D3-D2)&gt;ABS(D2-D1)),
"SELL",
IF(D3&gt;AVERAGE(B1,B2,B3,D1,D2),"BUY","SELL"))))))</f>
        <v>SELL</v>
      </c>
      <c r="C8" s="431" t="str">
        <f ca="1">IF(AND(HOUR(NOW())&gt;=14,HOUR(NOW())&lt;17),
  IF(
    OR(
      AND(B1&gt;B2,B2&gt;B3,D1&lt;D2,D2&lt;D3,ABS(D3-MAX(D1,D2))&lt;0.0003,ABS(D3-B4)&gt;0.0008),
      AND(B1&lt;B2,B2&lt;B3,D1&gt;D2,D2&gt;D3,ABS(D3-MIN(D1,D2))&lt;0.0003,ABS(D3-B4)&gt;0.0008)
    ),
    IF(D3&gt;D2,"BUY","SELL"),
    IF(
      AND(B1&lt;B2,B2&lt;B3,D1&lt;D2,D2&lt;D3,ABS(D3-MAX(D1,D2,D3))&lt;0.0002,ABS(B3-B1)&lt;0.0006,ABS(D3-B4)&lt;0.0008),
      "BUY",
      IF(
        AND(B1&gt;B2,B2&gt;B3,D1&gt;D2,D2&gt;D3,ABS(D3-MIN(D1,D2,D3))&lt;0.0002,ABS(B3-B1)&lt;0.0006,ABS(D3-B4)&lt;0.0008),
        "SELL",
        IF(
          AND(ABS(D3-D2)&gt;0.0009,ABS(D1-D2)&lt;0.0002,ABS(D3-B4)&gt;0.0009),
          IF(D3&lt;D2,"SELL","BUY"),
          IF(D3&gt;D2,"BUY","SELL")
        )
      )
    )
  ),
  "SELL"
)</f>
        <v>SELL</v>
      </c>
      <c r="D8" s="432" t="str">
        <f ca="1">IF(AND(HOUR(NOW())&gt;=17,HOUR(NOW())&lt;19,
  ABS(D3-D2)&gt;0.0004,
  ABS(D2-D1)&gt;0.0003,
  ABS(B3-B2)&lt;0.0002,
  ABS(B2-B1)&lt;0.0002,
  ABS(D3-B4)&gt;0.0008,
  NOT(OR(ABS(D3-D2)&gt;0.0025, ABS(D3-B4)&gt;0.0015)),
  D3&lt;D2, D2&gt;D1, B3&lt;B2, B2&lt;B1),
"BUY",
IF(AND(HOUR(NOW())&gt;=17,HOUR(NOW())&lt;19,
  ABS(D3-D2)&gt;0.0004,
  ABS(D2-D1)&gt;0.0003,
  ABS(B3-B2)&lt;0.0002,
  ABS(B2-B1)&lt;0.0002,
  ABS(D3-B4)&gt;0.0008,
  NOT(OR(ABS(D3-D2)&gt;0.0025, ABS(D3-B4)&gt;0.0015)),
  D3&gt;D2, D2&lt;D1, B3&gt;B2, B2&gt;B1),
"SELL",
IF(AND(HOUR(NOW())&gt;=17,HOUR(NOW())&lt;19,
  ABS(B3-B1)&lt;0.0003,
  ABS(D3-D1)&lt;0.0003,
  ABS(D3-B4)&gt;0.001,
  D3&lt;D2, D2&gt;D1),
"BUY",
"SELL")))</f>
        <v>SELL</v>
      </c>
      <c r="E8" s="430" t="str">
        <f ca="1">IF(AND(WEEKDAY(TODAY(),2)&lt;=5,HOUR(NOW())&gt;=21,HOUR(NOW())&lt;24),
IF(
OR(
AND(
D3&gt;D2,D2&gt;D1,B3&gt;B2,B2&gt;B1,
D3&gt;MAX(B1,B2,B3),
D3&gt;AVERAGE(D1,D2,D3),
ABS(D3-D1)&gt;0.00015,
(D3-MIN(D1,D2,D3))/(MAX(D1,D2,D3)-MIN(D1,D2,D3)+0.00001)&gt;0.7,
ABS(D3-B4)&lt;0.0009
),
AND(
D3&lt;D2,D2&lt;D1,B3&lt;B2,B2&lt;B1,
D3&lt;MIN(B1,B2,B3),
D3&lt;AVERAGE(D1,D2,D3),
ABS(D3-D1)&gt;0.00015,
(MAX(D1,D2,D3)-D3)/(MAX(D1,D2,D3)-MIN(D1,D2,D3)+0.00001)&gt;0.7,
ABS(D3-B4)&lt;0.0009
)
),
IF(D3&gt;D2,"BUY","SELL"),
IF(
OR(
AND(
D2&gt;D1,D3&lt;D2,
B1&gt;B2,B2&gt;B3,
D3&lt;B4-0.0009,
ABS(D3-D2)&gt;0.00015,
(MAX(D1,D2,D3)-D3)/(MAX(D1,D2,D3)-MIN(D1,D2,D3)+0.00001)&gt;0.7
),
AND(
D2&lt;D1,D3&gt;D2,
B1&lt;B2,B2&lt;B3,
D3&gt;B4+0.0009,
ABS(D3-D2)&gt;0.00015,
(D3-MIN(D1,D2,D3))/(MAX(D1,D2,D3)-MIN(D1,D2,D3)+0.00001)&gt;0.7
)
),
IF(D3&gt;D2,"BUY","SELL"),
IF(D3&gt;D2,"BUY","SELL")
)
),
IF(D3&gt;D2,"BUY","SELL")
)</f>
        <v>SELL</v>
      </c>
      <c r="F8" s="390"/>
      <c r="G8" s="390"/>
      <c r="H8" s="417"/>
      <c r="I8" s="417"/>
      <c r="J8" s="417"/>
      <c r="K8" s="417"/>
      <c r="L8" s="417"/>
      <c r="M8" s="417"/>
      <c r="N8" s="417"/>
      <c r="O8" s="417"/>
      <c r="P8" s="417"/>
      <c r="Q8" s="417"/>
      <c r="R8" s="417"/>
      <c r="S8" s="417"/>
      <c r="T8" s="417"/>
      <c r="U8" s="417"/>
      <c r="V8" s="417"/>
      <c r="W8" s="417"/>
      <c r="X8" s="417"/>
      <c r="Y8" s="417"/>
      <c r="Z8" s="417"/>
      <c r="AA8" s="417"/>
      <c r="AB8" s="417"/>
      <c r="AC8" s="417"/>
      <c r="AD8" s="409"/>
      <c r="AE8" s="409"/>
      <c r="AF8" s="409"/>
      <c r="AG8" s="409"/>
      <c r="AH8" s="409"/>
      <c r="AI8" s="409"/>
      <c r="AJ8" s="409"/>
      <c r="AK8" s="409"/>
      <c r="AL8" s="409"/>
      <c r="AM8" s="409"/>
      <c r="AN8" s="409"/>
      <c r="AO8" s="409"/>
      <c r="AP8" s="409"/>
      <c r="AQ8" s="409"/>
      <c r="AR8" s="409"/>
      <c r="AS8" s="409"/>
      <c r="AT8" s="409"/>
      <c r="AU8" s="409"/>
      <c r="AV8" s="409"/>
      <c r="AW8" s="409"/>
      <c r="AX8" s="409"/>
      <c r="AY8" s="409"/>
      <c r="AZ8" s="409"/>
      <c r="BA8" s="409"/>
      <c r="BB8" s="409"/>
      <c r="BC8" s="409"/>
      <c r="BD8" s="409"/>
      <c r="BE8" s="409"/>
      <c r="BF8" s="409"/>
      <c r="BG8" s="409"/>
      <c r="BH8" s="409"/>
      <c r="BI8" s="409"/>
      <c r="BJ8" s="409"/>
      <c r="BK8" s="409"/>
    </row>
    <row r="9" spans="1:63" ht="36" x14ac:dyDescent="0.5">
      <c r="A9" s="398" t="s">
        <v>137</v>
      </c>
      <c r="B9" s="209" t="s">
        <v>146</v>
      </c>
      <c r="C9" s="209" t="s">
        <v>147</v>
      </c>
      <c r="D9" s="416" t="s">
        <v>148</v>
      </c>
      <c r="E9" s="205" t="s">
        <v>145</v>
      </c>
      <c r="F9" s="390"/>
      <c r="G9" s="390"/>
      <c r="H9" s="417"/>
      <c r="I9" s="417"/>
      <c r="J9" s="417"/>
      <c r="K9" s="417"/>
      <c r="L9" s="417"/>
      <c r="M9" s="417"/>
      <c r="N9" s="417"/>
      <c r="O9" s="417"/>
      <c r="P9" s="417"/>
      <c r="Q9" s="417"/>
      <c r="R9" s="417"/>
      <c r="S9" s="417"/>
      <c r="T9" s="417"/>
      <c r="U9" s="417"/>
      <c r="V9" s="417"/>
      <c r="W9" s="417"/>
      <c r="X9" s="417"/>
      <c r="Y9" s="417"/>
      <c r="Z9" s="417"/>
      <c r="AA9" s="417"/>
      <c r="AB9" s="417"/>
      <c r="AC9" s="417"/>
      <c r="AD9" s="409"/>
      <c r="AE9" s="409"/>
      <c r="AF9" s="409"/>
      <c r="AG9" s="409"/>
      <c r="AH9" s="409"/>
      <c r="AI9" s="409"/>
      <c r="AJ9" s="409"/>
      <c r="AK9" s="409"/>
      <c r="AL9" s="409"/>
      <c r="AM9" s="409"/>
      <c r="AN9" s="409"/>
      <c r="AO9" s="409"/>
      <c r="AP9" s="409"/>
      <c r="AQ9" s="409"/>
      <c r="AR9" s="409"/>
      <c r="AS9" s="409"/>
      <c r="AT9" s="409"/>
      <c r="AU9" s="409"/>
      <c r="AV9" s="409"/>
      <c r="AW9" s="409"/>
      <c r="AX9" s="409"/>
      <c r="AY9" s="409"/>
      <c r="AZ9" s="409"/>
      <c r="BA9" s="409"/>
      <c r="BB9" s="409"/>
      <c r="BC9" s="409"/>
      <c r="BD9" s="409"/>
      <c r="BE9" s="409"/>
      <c r="BF9" s="409"/>
      <c r="BG9" s="409"/>
      <c r="BH9" s="409"/>
      <c r="BI9" s="409"/>
      <c r="BJ9" s="409"/>
      <c r="BK9" s="409"/>
    </row>
    <row r="10" spans="1:63" ht="46.5" customHeight="1" x14ac:dyDescent="0.55000000000000004">
      <c r="A10" s="418"/>
      <c r="B10" s="434" t="str" cm="1">
        <f t="array" aca="1" ref="B10" ca="1">_xlfn.LET(
    _xlpm.current_hour, HOUR(NOW()),
    _xlpm.current_day, WEEKDAY(NOW(),2),
    _xlpm.avg_back, AVERAGE(B1, B2, B3, D1, D2, D3),
    _xlpm.price_range, MAX(B1, B2, B3, D1, D2, D3) - MIN(B1, B2, B3, D1, D2, D3) + 0.00001,
    _xlpm.last_leg, D3 - D2,
    _xlpm.prev_leg, D2 - D1,
    _xlpm.distance_from_avg, D3 - _xlpm.avg_back,
    _xlpm.reversal_risk, IF(SIGN(_xlpm.last_leg)&lt;&gt;SIGN(_xlpm.prev_leg), 1, 0),
    _xlpm.fakeout_flag, IF(ABS(_xlpm.distance_from_avg) &gt; _xlpm.price_range * 0.3, 1, 0),
    _xlpm.overextension_flag, IF(OR(D3=MAX(B1, B2, B3, D1, D2, D3), D3=MIN(B1, B2, B3, D1, D2, D3)), 1, 0),
    _xlpm.core_signal, IF(
        _xlpm.reversal_risk + _xlpm.fakeout_flag + _xlpm.overextension_flag &gt;= 1,
        IF(_xlpm.last_leg &gt; 0, "REVERSAL BUY", "REVERSAL SELL"),
        IF(_xlpm.last_leg &gt; 0, "CONTINUATION BUY", "CONTINUATION SELL")
    ),
    _xlpm.final_signal, IF(
        AND(OR(_xlpm.current_day=6, _xlpm.current_day=7), _xlpm.current_hour &gt;= 8, _xlpm.current_hour &lt; 17),
        _xlpm.core_signal,
        ""
    ),
    _xlpm.final_signal
)</f>
        <v/>
      </c>
      <c r="C10" s="435" t="str" cm="1">
        <f t="array" aca="1" ref="C10" ca="1">_xlfn.LET(
    _xlpm.current_time, NOW(),
    _xlpm.current_hour, HOUR(_xlpm.current_time),
    _xlpm.current_day, WEEKDAY(_xlpm.current_time, 2),
    _xlpm.is_weekend, OR(_xlpm.current_day=6, _xlpm.current_day=7),
    _xlpm.is_session, AND(_xlpm.current_hour&gt;=16, _xlpm.current_hour&lt;24),
    _xlpm.avg_back, AVERAGE(B1,B2,B3,D1,D2),
    _xlpm.price_range, MAX(B1,B2,B3,D1,D2,D3) - MIN(B1,B2,B3,D1,D2,D3) + 0.00001,
    _xlpm.last_leg, D3 - D2,
    _xlpm.prev_leg, D2 - D1,
    _xlpm.acceleration, (D3 - D2) - (D2 - D1),
    _xlpm.weighted_price, B1*0.1 + B2*0.15 + B3*0.2 + D1*0.2 + D2*0.2 + D3*0.15,
    _xlpm.distance_from_avg, D3 - _xlpm.avg_back,
    _xlpm.volatility, _xlfn.STDEV.P(B1,B2,B3,D1,D2,D3),
    _xlpm.fake_breakout, IF(AND(ABS(_xlpm.distance_from_avg)&gt;_xlpm.price_range*0.4, ABS(_xlpm.acceleration)&lt;_xlpm.price_range*0.1), 1, 0),
    _xlpm.overextension, IF(ABS(_xlpm.distance_from_avg)&gt;_xlpm.volatility*1.5, 1, 0),
    _xlpm.fast_snapback, IF(AND(ABS(_xlpm.acceleration)&gt;_xlpm.price_range*0.3, SIGN(_xlpm.acceleration)&lt;&gt;SIGN(_xlpm.prev_leg)), 1, 0),
    _xlpm.reversal_pressure, IF(AND(SIGN(_xlpm.last_leg)&lt;&gt;SIGN(_xlpm.prev_leg), ABS(_xlpm.last_leg)&gt;_xlpm.price_range*0.1), 1, 0),
    _xlpm.momentum_direction, IF(_xlpm.last_leg&gt;0, 1, IF(_xlpm.last_leg&lt;0, -1, 0)),
    _xlpm.signal_score, _xlpm.reversal_pressure + _xlpm.fake_breakout + _xlpm.overextension + _xlpm.fast_snapback,
    _xlpm.final_decision,
        IF(AND(_xlpm.is_weekend, _xlpm.is_session),
            IF(_xlpm.signal_score&gt;=1,
                IF(_xlpm.last_leg&gt;0, "REVERSAL SELL", "REVERSAL BUY"),
                IF(_xlpm.momentum_direction=1, "CONTINUATION BUY", "CONTINUATION SELL")
            ),
        ""
        ),
    _xlpm.final_decision
)</f>
        <v/>
      </c>
      <c r="D10" s="419" t="str">
        <f ca="1">IF(AND(OR(WEEKDAY(TODAY(),2)=6,WEEKDAY(TODAY(),2)=7),MOD(NOW(),1)&gt;=0,MOD(NOW(),1)&lt;8/24),
    IF(AND(D1&gt;D2,D2&gt;D3,B1&gt;B2,B2&gt;B3,ABS(D1-D3)&gt;0.00015,ABS(B1-B3)&gt;0.00015),"SELL STRONG",
    IF(AND(D1&lt;D2,D2&lt;D3,B1&lt;B2,B2&lt;B3,ABS(D1-D3)&gt;0.00015,ABS(B1-B3)&gt;0.00015),"BUY STRONG",
    IF(AND(D1&gt;D2,B1&gt;B2),"SELL STRONG",
    IF(AND(D1&lt;D2,B1&lt;B2),"BUY STRONG","SELL STRONG")))),
    "MARKET CLOSED")</f>
        <v>MARKET CLOSED</v>
      </c>
      <c r="E10" s="420"/>
      <c r="F10" s="418"/>
      <c r="G10" s="418"/>
      <c r="H10" s="417"/>
      <c r="I10" s="417"/>
      <c r="J10" s="417"/>
      <c r="K10" s="417"/>
      <c r="L10" s="417"/>
      <c r="M10" s="417"/>
      <c r="N10" s="417"/>
      <c r="O10" s="417"/>
      <c r="P10" s="417"/>
      <c r="Q10" s="417"/>
      <c r="R10" s="417"/>
      <c r="S10" s="417"/>
      <c r="T10" s="417"/>
      <c r="U10" s="417"/>
      <c r="V10" s="417"/>
      <c r="W10" s="417"/>
      <c r="X10" s="417"/>
      <c r="Y10" s="417"/>
      <c r="Z10" s="417"/>
      <c r="AA10" s="417"/>
      <c r="AB10" s="417"/>
      <c r="AC10" s="417"/>
      <c r="AD10" s="409"/>
      <c r="AE10" s="409"/>
      <c r="AF10" s="409"/>
      <c r="AG10" s="409"/>
      <c r="AH10" s="409"/>
      <c r="AI10" s="409"/>
      <c r="AJ10" s="409"/>
      <c r="AK10" s="409"/>
      <c r="AL10" s="409"/>
      <c r="AM10" s="409"/>
      <c r="AN10" s="409"/>
      <c r="AO10" s="409"/>
      <c r="AP10" s="409"/>
      <c r="AQ10" s="409"/>
      <c r="AR10" s="409"/>
      <c r="AS10" s="409"/>
      <c r="AT10" s="409"/>
      <c r="AU10" s="409"/>
      <c r="AV10" s="409"/>
      <c r="AW10" s="409"/>
      <c r="AX10" s="409"/>
      <c r="AY10" s="409"/>
      <c r="AZ10" s="409"/>
      <c r="BA10" s="409"/>
      <c r="BB10" s="409"/>
      <c r="BC10" s="409"/>
      <c r="BD10" s="409"/>
      <c r="BE10" s="409"/>
      <c r="BF10" s="409"/>
      <c r="BG10" s="409"/>
      <c r="BH10" s="409"/>
      <c r="BI10" s="409"/>
      <c r="BJ10" s="409"/>
      <c r="BK10" s="409"/>
    </row>
    <row r="11" spans="1:63" ht="48" customHeight="1" x14ac:dyDescent="0.45">
      <c r="A11" s="390"/>
      <c r="B11" s="405" t="s">
        <v>149</v>
      </c>
      <c r="C11" s="400" t="str" cm="1">
        <f t="array" aca="1" ref="C11" ca="1">_xlfn.LET(
  _xlpm.current_day, WEEKDAY(NOW(),2),
  _xlpm.avg_back, AVERAGE(B1,B2,B3,D1,D2),
  _xlpm.price_range, MAX(B1,B2,B3,D1,D2,D3)-MIN(B1,B2,B3,D1,D2,D3)+0.00001,
  _xlpm.last_leg, D3-D2,
  _xlpm.prev_leg, D2-D1,
  _xlpm.momentum, _xlpm.last_leg + _xlpm.prev_leg,
  _xlpm.acceleration, _xlpm.last_leg - _xlpm.prev_leg,
  _xlpm.volatility, _xlfn.STDEV.P(B1,B2,B3,D1,D2,D3)/_xlpm.price_range,
  _xlpm.upper_wick, IF(D3&gt;B3, MAX(B1,B2,B3,D1,D2)-D3, MAX(B1,B2,B3,D1,D2)-B3),
  _xlpm.lower_wick, IF(D3&gt;B3, B3-MIN(B1,B2,B3,D1,D2), D3-MIN(B1,B2,B3,D1,D2)),
  _xlpm.wick_ratio, IF(_xlpm.lower_wick&gt;_xlpm.upper_wick, _xlpm.lower_wick/(_xlpm.upper_wick+0.00001), _xlpm.upper_wick/(_xlpm.lower_wick+0.00001)),
  _xlpm.last_pressure, (D3-B4)/_xlpm.price_range,
  _xlpm.trend_strength, IF(B4&gt;_xlpm.avg_back, 1, IF(B4&lt;_xlpm.avg_back, -1, 0)),
  _xlpm.momentum_dir, IF(_xlpm.momentum&gt;0, 1, IF(_xlpm.momentum&lt;0, -1, 0)),
  _xlpm.trap_reversal, IF(
    AND(
      ABS(_xlpm.acceleration)&gt;_xlpm.price_range*0.12,
      _xlpm.wick_ratio&gt;1.4,
      _xlpm.volatility&gt;0.005,
      SIGN(_xlpm.last_leg)&lt;&gt;SIGN(_xlpm.prev_leg)
    ), 1, 0),
  _xlpm.breakout_flip, IF(
    AND(
      OR(D3&gt;=MAX(B1,B2,B3,D1,D2)*1.0004, D3&lt;=MIN(B1,B2,B3,D1,D2)*0.9996),
      _xlpm.volatility&gt;0.0045,
      _xlpm.wick_ratio&gt;1.3
    ), 1, 0),
  _xlpm.strong_trend, IF(
    AND(
      SIGN(_xlpm.last_leg)=SIGN(_xlpm.prev_leg),
      ABS(_xlpm.acceleration)&lt;_xlpm.price_range*0.1,
      _xlpm.volatility&lt;0.01,
      ABS(_xlpm.last_leg)&gt;_xlpm.price_range*0.15
    ), 1, 0),
  _xlpm.core_signal,
    IF(_xlpm.trap_reversal=1,
      IF(_xlpm.last_leg&gt;0, "REVERSAL BUY", "REVERSAL SELL"),
    IF(_xlpm.breakout_flip=1,
      IF(_xlpm.last_leg&lt;0, "REVERSAL SELL", "REVERSAL BUY"),
    IF(_xlpm.strong_trend=1,
      IF(_xlpm.momentum_dir=1, "BUY", "SELL"),
      IF(_xlpm.last_pressure&gt;0, "BUY", "SELL")))),
  _xlpm.final_signal,
    IF(OR(_xlpm.current_day=6, _xlpm.current_day=7), _xlpm.core_signal, ""),
  _xlpm.final_signal
)</f>
        <v/>
      </c>
      <c r="D11" s="436" t="str" cm="1">
        <f t="array" aca="1" ref="D11" ca="1">_xlfn.LET(
  _xlpm.day, WEEKDAY(NOW(),2),
  _xlpm.hour, HOUR(NOW()),
  _xlpm.top, MAX(B1,B2,B3,D1,D2,D3),
  _xlpm.bottom, MIN(B1,B2,B3,D1,D2,D3),
  _xlpm.range, _xlpm.top - _xlpm.bottom + 0.00001,
  _xlpm.last_leg, D3 - D2,
  _xlpm.prev_leg, D2 - D1,
  _xlpm.momentum, _xlpm.last_leg + _xlpm.prev_leg,
  _xlpm.accel, _xlpm.last_leg - _xlpm.prev_leg,
  _xlpm.pressure, (B4 - D3) / _xlpm.range,
  _xlpm.upper_wick, IF(D3&gt;B3, _xlpm.top-D3, _xlpm.top-B3),
  _xlpm.lower_wick, IF(D3&gt;B3, B3-_xlpm.bottom, D3-_xlpm.bottom),
  _xlpm.wick_ratio, IF(_xlpm.lower_wick&gt;_xlpm.upper_wick, _xlpm.lower_wick/(_xlpm.upper_wick+0.00001), _xlpm.upper_wick/(_xlpm.lower_wick+0.00001)),
  _xlpm.trap_reversal, IF(AND(
    _xlpm.wick_ratio&gt;1.4,
    SIGN(_xlpm.prev_leg)&lt;&gt;SIGN(_xlpm.last_leg),
    _xlpm.pressure&gt;0.2
  ), 1, 0),
  _xlpm.breakout_fake, IF(AND(
    D3&lt;=_xlpm.bottom*1.0002,
    _xlpm.lower_wick&gt;_xlpm.upper_wick*1.2,
    _xlpm.pressure&gt;0.2
  ), 1, 0),
  _xlpm.strong_sell, IF(AND(
    _xlpm.momentum&lt;0,
    _xlpm.accel&lt;0,
    _xlpm.pressure&lt;0
  ), 1, 0),
  _xlpm.strong_buy, IF(AND(
    _xlpm.momentum&gt;0,
    _xlpm.accel&gt;0,
    _xlpm.pressure&gt;0
  ), 1, 0),
  _xlpm.signal,
    IF(_xlpm.trap_reversal=1, "BUY",
    IF(_xlpm.breakout_fake=1, "BUY",
    IF(_xlpm.strong_buy=1, "BUY",
    IF(_xlpm.strong_sell=1, "SELL",
    IF(_xlpm.pressure&gt;0, "BUY", "SELL"))))),
  _xlpm.is_weekend, OR(_xlpm.day=6, _xlpm.day=7),
  _xlpm.is_session, AND(_xlpm.hour&gt;=8, _xlpm.hour&lt;12),
  _xlpm.final, IF(AND(_xlpm.is_weekend, _xlpm.is_session), _xlpm.signal, _xlpm.signal),
  _xlpm.final
)</f>
        <v>BUY</v>
      </c>
      <c r="E11" s="390" t="str">
        <f>IF(OR(AND(SIGN(D3-D2)&lt;&gt;SIGN(D2-D1),ABS((D3-D2)-(D2-D1))&gt;((MAX(B1,B2,B3,D1,D2,D3)-MIN(B1,B2,B3,D1,D2,D3)+0.00001)*0.1),IF(IF(D3&gt;B3,B3-MIN(B1,B2,B3,D1,D2),D3-MIN(B1,B2,B3,D1,D2))&gt;IF(D3&gt;B3,MAX(B1,B2,B3,D1,D2)-D3,MAX(B1,B2,B3,D1,D2)-B3),IF(D3&gt;B3,B3-MIN(B1,B2,B3,D1,D2),D3-MIN(B1,B2,B3,D1,D2))/(IF(D3&gt;B3,MAX(B1,B2,B3,D1,D2)-D3,MAX(B1,B2,B3,D1,D2)-B3)+0.00001),IF(D3&gt;B3,MAX(B1,B2,B3,D1,D2)-D3,MAX(B1,B2,B3,D1,D2)-B3)/(IF(D3&gt;B3,B3-MIN(B1,B2,B3,D1,D2),D3-MIN(B1,B2,B3,D1,D2))+0.00001))&gt;1.35),AND(D3&lt;=MIN(B1,B2,B3,D1,D2,D3)*1.0002,IF(D3&gt;B3,B3-MIN(B1,B2,B3,D1,D2),D3-MIN(B1,B2,B3,D1,D2))&gt;IF(D3&gt;B3,MAX(B1,B2,B3,D1,D2)-D3,MAX(B1,B2,B3,D1,D2)-B3)*1.2,(B4-D3)/(MAX(B1,B2,B3,D1,D2,D3)-MIN(B1,B2,B3,D1,D2,D3)+0.00001)&gt;0.16),((B4-D3)/(MAX(B1,B2,B3,D1,D2,D3)-MIN(B1,B2,B3,D1,D2,D3)+0.00001))&gt;0.18),IF(AND(IF(IF(D3&gt;B3,B3-MIN(B1,B2,B3,D1,D2),D3-MIN(B1,B2,B3,D1,D2))&gt;IF(D3&gt;B3,MAX(B1,B2,B3,D1,D2)-D3,MAX(B1,B2,B3,D1,D2)-B3),IF(D3&gt;B3,B3-MIN(B1,B2,B3,D1,D2),D3-MIN(B1,B2,B3,D1,D2))/(IF(D3&gt;B3,MAX(B1,B2,B3,D1,D2)-D3,MAX(B1,B2,B3,D1,D2)-B3)+0.00001),IF(D3&gt;B3,MAX(B1,B2,B3,D1,D2)-D3,MAX(B1,B2,B3,D1,D2)-B3)/(IF(D3&gt;B3,B3-MIN(B1,B2,B3,D1,D2),D3-MIN(B1,B2,B3,D1,D2))+0.00001))&gt;1.4,SIGN(D2-D1)&lt;&gt;SIGN(D3-D2),(B4-D3)/(MAX(B1,B2,B3,D1,D2,D3)-MIN(B1,B2,B3,D1,D2,D3)+0.00001)&gt;0.2),"BUY",IF(AND(D3&lt;=MIN(B1,B2,B3,D1,D2,D3)*1.0002,IF(D3&gt;B3,B3-MIN(B1,B2,B3,D1,D2),D3-MIN(B1,B2,B3,D1,D2))&gt;IF(D3&gt;B3,MAX(B1,B2,B3,D1,D2)-D3,MAX(B1,B2,B3,D1,D2)-B3)*1.2,(B4-D3)/(MAX(B1,B2,B3,D1,D2,D3)-MIN(B1,B2,B3,D1,D2,D3)+0.00001)&gt;0.2),"BUY",IF(AND(((D3-D2)+(D2-D1))&gt;0,((D3-D2)-(D2-D1))&gt;0,(B4-D3)/(MAX(B1,B2,B3,D1,D2,D3)-MIN(B1,B2,B3,D1,D2,D3)+0.00001)&gt;0),"BUY",IF(AND(((D3-D2)+(D2-D1))&lt;0,((D3-D2)-(D2-D1))&lt;0,(B4-D3)/(MAX(B1,B2,B3,D1,D2,D3)-MIN(B1,B2,B3,D1,D2,D3)+0.00001)&lt;0),"SELL",IF((B4-D3)/(MAX(B1,B2,B3,D1,D2,D3)-MIN(B1,B2,B3,D1,D2,D3)+0.00001)&gt;0,"BUY","SELL"))))),IF(AND(ABS((D3-D2)-(D2-D1))&gt;(((MAX(B1,B2,B3,D1,D2,D3)-MIN(B1,B2,B3,D1,D2,D3)+0.00001))*0.12),IF(IF(D3&gt;B3,B3-MIN(B1,B2,B3,D1,D2),D3-MIN(B1,B2,B3,D1,D2))&gt;IF(D3&gt;B3,MAX(B1,B2,B3,D1,D2)-D3,MAX(B1,B2,B3,D1,D2)-B3),IF(D3&gt;B3,B3-MIN(B1,B2,B3,D1,D2),D3-MIN(B1,B2,B3,D1,D2))/(IF(D3&gt;B3,MAX(B1,B2,B3,D1,D2)-D3,MAX(B1,B2,B3,D1,D2)-B3)+0.00001),IF(D3&gt;B3,MAX(B1,B2,B3,D1,D2)-D3,MAX(B1,B2,B3,D1,D2)-B3)/(IF(D3&gt;B3,B3-MIN(B1,B2,B3,D1,D2),D3-MIN(B1,B2,B3,D1,D2))+0.00001))&gt;1.4,(_xlfn.STDEV.P(B1,B2,B3,D1,D2,D3)/(MAX(B1,B2,B3,D1,D2,D3)-MIN(B1,B2,B3,D1,D2,D3)+0.00001))&gt;0.005,SIGN(D3-D2)&lt;&gt;SIGN(D2-D1)),IF(D3-D2&gt;0,"BUY","SELL"),IF(AND(OR(D3&gt;=MAX(B1,B2,B3,D1,D2)*1.0004,D3&lt;=MIN(B1,B2,B3,D1,D2)*0.9996),(_xlfn.STDEV.P(B1,B2,B3,D1,D2,D3)/(MAX(B1,B2,B3,D1,D2,D3)-MIN(B1,B2,B3,D1,D2,D3)+0.00001))&gt;0.0045,IF(IF(D3&gt;B3,B3-MIN(B1,B2,B3,D1,D2),D3-MIN(B1,B2,B3,D1,D2))&gt;IF(D3&gt;B3,MAX(B1,B2,B3,D1,D2)-D3,MAX(B1,B2,B3,D1,D2)-B3),IF(D3&gt;B3,B3-MIN(B1,B2,B3,D1,D2),D3-MIN(B1,B2,B3,D1,D2))/(IF(D3&gt;B3,MAX(B1,B2,B3,D1,D2)-D3,MAX(B1,B2,B3,D1,D2)-B3)+0.00001),IF(D3&gt;B3,MAX(B1,B2,B3,D1,D2)-D3,MAX(B1,B2,B3,D1,D2)-B3)/(IF(D3&gt;B3,B3-MIN(B1,B2,B3,D1,D2),D3-MIN(B1,B2,B3,D1,D2))+0.00001))&gt;1.3),IF(D3-D2&lt;0,"SELL","BUY"),IF(AND(SIGN(D3-D2)=SIGN(D2-D1),ABS((D3-D2)-(D2-D1))&lt;(((MAX(B1,B2,B3,D1,D2,D3)-MIN(B1,B2,B3,D1,D2,D3)+0.00001))*0.1),(_xlfn.STDEV.P(B1,B2,B3,D1,D2,D3)/(MAX(B1,B2,B3,D1,D2,D3)-MIN(B1,B2,B3,D1,D2,D3)+0.00001))&lt;0.01,ABS(D3-D2)&gt;(((MAX(B1,B2,B3,D1,D2,D3)-MIN(B1,B2,B3,D1,D2,D3)+0.00001))*0.15)),IF(((D3-D2)+(D2-D1))&gt;0,"BUY","SELL"),IF((((D3-AVERAGE(B1,B2,B3,D1,D2,D3))/(MAX(B1,B2,B3,D1,D2,D3)-MIN(B1,B2,B3,D1,D2,D3)+0.00001))&gt;0),"BUY","SELL")))))</f>
        <v>BUY</v>
      </c>
      <c r="F11" s="390"/>
      <c r="G11" s="390"/>
      <c r="H11" s="390"/>
      <c r="I11" s="390"/>
      <c r="J11" s="390"/>
      <c r="K11" s="390"/>
      <c r="L11" s="390"/>
      <c r="M11" s="390"/>
      <c r="N11" s="390"/>
      <c r="O11" s="390"/>
      <c r="P11" s="390"/>
      <c r="Q11" s="390"/>
      <c r="R11" s="390"/>
      <c r="S11" s="390"/>
      <c r="T11" s="390"/>
      <c r="U11" s="390"/>
      <c r="V11" s="390"/>
      <c r="W11" s="390"/>
      <c r="X11" s="390"/>
      <c r="Y11" s="390"/>
      <c r="Z11" s="390"/>
      <c r="AA11" s="390"/>
      <c r="AB11" s="390"/>
      <c r="AC11" s="390"/>
      <c r="AD11" s="410"/>
      <c r="AE11" s="410"/>
      <c r="AF11" s="410"/>
      <c r="AG11" s="410"/>
      <c r="AH11" s="410"/>
      <c r="AI11" s="410"/>
      <c r="AJ11" s="410"/>
      <c r="AK11" s="410"/>
      <c r="AL11" s="410"/>
      <c r="AM11" s="410"/>
      <c r="AN11" s="410"/>
      <c r="AO11" s="410"/>
      <c r="AP11" s="410"/>
      <c r="AQ11" s="410"/>
      <c r="AR11" s="410"/>
      <c r="AS11" s="410"/>
      <c r="AT11" s="410"/>
      <c r="AU11" s="410"/>
      <c r="AV11" s="410"/>
      <c r="AW11" s="410"/>
      <c r="AX11" s="410"/>
      <c r="AY11" s="410"/>
      <c r="AZ11" s="410"/>
      <c r="BA11" s="410"/>
      <c r="BB11" s="410"/>
      <c r="BC11" s="410"/>
      <c r="BD11" s="410"/>
      <c r="BE11" s="410"/>
      <c r="BF11" s="409"/>
      <c r="BG11" s="409"/>
      <c r="BH11" s="409"/>
      <c r="BI11" s="409"/>
      <c r="BJ11" s="409"/>
      <c r="BK11" s="409"/>
    </row>
    <row r="12" spans="1:63" x14ac:dyDescent="0.2">
      <c r="A12" s="410"/>
      <c r="B12" s="410"/>
      <c r="C12" s="410"/>
      <c r="D12" s="410"/>
      <c r="E12" s="410"/>
      <c r="F12" s="410"/>
      <c r="G12" s="410"/>
      <c r="H12" s="410"/>
      <c r="I12" s="410"/>
      <c r="J12" s="410"/>
      <c r="K12" s="410"/>
      <c r="L12" s="410"/>
      <c r="M12" s="410"/>
      <c r="N12" s="410"/>
      <c r="O12" s="410"/>
      <c r="P12" s="410"/>
      <c r="Q12" s="410"/>
      <c r="R12" s="410"/>
      <c r="S12" s="410"/>
      <c r="T12" s="410"/>
      <c r="U12" s="410"/>
      <c r="V12" s="410"/>
      <c r="W12" s="410"/>
      <c r="X12" s="410"/>
      <c r="Y12" s="410"/>
      <c r="Z12" s="410"/>
      <c r="AA12" s="410"/>
      <c r="AB12" s="410"/>
      <c r="AC12" s="410"/>
      <c r="AD12" s="410"/>
      <c r="AE12" s="410"/>
      <c r="AF12" s="410"/>
      <c r="AG12" s="410"/>
      <c r="AH12" s="410"/>
      <c r="AI12" s="410"/>
      <c r="AJ12" s="410"/>
      <c r="AK12" s="410"/>
      <c r="AL12" s="410"/>
      <c r="AM12" s="410"/>
      <c r="AN12" s="410"/>
      <c r="AO12" s="410"/>
      <c r="AP12" s="410"/>
      <c r="AQ12" s="410"/>
      <c r="AR12" s="410"/>
      <c r="AS12" s="410"/>
      <c r="AT12" s="410"/>
      <c r="AU12" s="410"/>
      <c r="AV12" s="410"/>
      <c r="AW12" s="410"/>
      <c r="AX12" s="410"/>
      <c r="AY12" s="410"/>
      <c r="AZ12" s="410"/>
      <c r="BA12" s="410"/>
      <c r="BB12" s="410"/>
      <c r="BC12" s="410"/>
      <c r="BD12" s="410"/>
      <c r="BE12" s="410"/>
      <c r="BF12" s="409"/>
      <c r="BG12" s="409"/>
      <c r="BH12" s="409"/>
      <c r="BI12" s="409"/>
      <c r="BJ12" s="409"/>
      <c r="BK12" s="409"/>
    </row>
    <row r="13" spans="1:63" x14ac:dyDescent="0.2">
      <c r="A13" s="410"/>
      <c r="B13" s="410"/>
      <c r="C13" s="410"/>
      <c r="D13" s="410"/>
      <c r="E13" s="410"/>
      <c r="F13" s="410"/>
      <c r="G13" s="410"/>
      <c r="H13" s="410"/>
      <c r="I13" s="410"/>
      <c r="J13" s="410"/>
      <c r="K13" s="410"/>
      <c r="L13" s="410"/>
      <c r="M13" s="410"/>
      <c r="N13" s="410"/>
      <c r="O13" s="410"/>
      <c r="P13" s="410"/>
      <c r="Q13" s="410"/>
      <c r="R13" s="410"/>
      <c r="S13" s="410"/>
      <c r="T13" s="410"/>
      <c r="U13" s="410"/>
      <c r="V13" s="410"/>
      <c r="W13" s="410"/>
      <c r="X13" s="410"/>
      <c r="Y13" s="410"/>
      <c r="Z13" s="410"/>
      <c r="AA13" s="410"/>
      <c r="AB13" s="410"/>
      <c r="AC13" s="410"/>
      <c r="AD13" s="410"/>
      <c r="AE13" s="410"/>
      <c r="AF13" s="410"/>
      <c r="AG13" s="410"/>
      <c r="AH13" s="410"/>
      <c r="AI13" s="410"/>
      <c r="AJ13" s="410"/>
      <c r="AK13" s="410"/>
      <c r="AL13" s="410"/>
      <c r="AM13" s="410"/>
      <c r="AN13" s="410"/>
      <c r="AO13" s="410"/>
      <c r="AP13" s="410"/>
      <c r="AQ13" s="410"/>
      <c r="AR13" s="410"/>
      <c r="AS13" s="410"/>
      <c r="AT13" s="410"/>
      <c r="AU13" s="410"/>
      <c r="AV13" s="410"/>
      <c r="AW13" s="410"/>
      <c r="AX13" s="410"/>
      <c r="AY13" s="410"/>
      <c r="AZ13" s="410"/>
      <c r="BA13" s="410"/>
      <c r="BB13" s="410"/>
      <c r="BC13" s="410"/>
      <c r="BD13" s="410"/>
      <c r="BE13" s="410"/>
      <c r="BF13" s="409"/>
      <c r="BG13" s="409"/>
      <c r="BH13" s="409"/>
      <c r="BI13" s="409"/>
      <c r="BJ13" s="409"/>
      <c r="BK13" s="409"/>
    </row>
    <row r="14" spans="1:63" x14ac:dyDescent="0.2">
      <c r="A14" s="410"/>
      <c r="B14" s="410"/>
      <c r="C14" s="410"/>
      <c r="D14" s="410"/>
      <c r="E14" s="410"/>
      <c r="F14" s="410"/>
      <c r="G14" s="410"/>
      <c r="H14" s="410"/>
      <c r="I14" s="410"/>
      <c r="J14" s="410"/>
      <c r="K14" s="410"/>
      <c r="L14" s="410"/>
      <c r="M14" s="410"/>
      <c r="N14" s="410"/>
      <c r="O14" s="410"/>
      <c r="P14" s="410"/>
      <c r="Q14" s="410"/>
      <c r="R14" s="410"/>
      <c r="S14" s="410"/>
      <c r="T14" s="410"/>
      <c r="U14" s="410"/>
      <c r="V14" s="410"/>
      <c r="W14" s="410"/>
      <c r="X14" s="410"/>
      <c r="Y14" s="410"/>
      <c r="Z14" s="410"/>
      <c r="AA14" s="410"/>
      <c r="AB14" s="410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</row>
    <row r="15" spans="1:63" x14ac:dyDescent="0.2">
      <c r="A15" s="410"/>
      <c r="B15" s="410"/>
      <c r="C15" s="410"/>
      <c r="D15" s="410"/>
      <c r="E15" s="410"/>
      <c r="F15" s="410"/>
      <c r="G15" s="410"/>
      <c r="H15" s="410"/>
      <c r="I15" s="410"/>
      <c r="J15" s="410"/>
      <c r="K15" s="410"/>
      <c r="L15" s="410"/>
      <c r="M15" s="410"/>
      <c r="N15" s="410"/>
      <c r="O15" s="410"/>
      <c r="P15" s="410"/>
      <c r="Q15" s="410"/>
      <c r="R15" s="410"/>
      <c r="S15" s="410"/>
      <c r="T15" s="410"/>
      <c r="U15" s="410"/>
      <c r="V15" s="410"/>
      <c r="W15" s="410"/>
      <c r="X15" s="410"/>
      <c r="Y15" s="410"/>
      <c r="Z15" s="410"/>
      <c r="AA15" s="410"/>
      <c r="AB15" s="410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</row>
    <row r="16" spans="1:63" x14ac:dyDescent="0.2">
      <c r="A16" s="410"/>
      <c r="B16" s="410"/>
      <c r="C16" s="410"/>
      <c r="D16" s="410"/>
      <c r="E16" s="410"/>
      <c r="F16" s="410"/>
      <c r="G16" s="410"/>
      <c r="H16" s="410"/>
      <c r="I16" s="410"/>
      <c r="J16" s="410"/>
      <c r="K16" s="410"/>
      <c r="L16" s="410"/>
      <c r="M16" s="410"/>
      <c r="N16" s="410"/>
      <c r="O16" s="410"/>
      <c r="P16" s="410"/>
      <c r="Q16" s="410"/>
      <c r="R16" s="410"/>
      <c r="S16" s="410"/>
      <c r="T16" s="410"/>
      <c r="U16" s="410"/>
      <c r="V16" s="410"/>
      <c r="W16" s="410"/>
      <c r="X16" s="410"/>
      <c r="Y16" s="410"/>
      <c r="Z16" s="410"/>
      <c r="AA16" s="410"/>
      <c r="AB16" s="410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</row>
    <row r="17" spans="1:57" x14ac:dyDescent="0.2">
      <c r="A17" s="410"/>
      <c r="B17" s="410"/>
      <c r="C17" s="410"/>
      <c r="D17" s="410"/>
      <c r="E17" s="410"/>
      <c r="F17" s="410"/>
      <c r="G17" s="410"/>
      <c r="H17" s="410"/>
      <c r="I17" s="410"/>
      <c r="J17" s="410"/>
      <c r="K17" s="410"/>
      <c r="L17" s="410"/>
      <c r="M17" s="410"/>
      <c r="N17" s="410"/>
      <c r="O17" s="410"/>
      <c r="P17" s="410"/>
      <c r="Q17" s="410"/>
      <c r="R17" s="410"/>
      <c r="S17" s="410"/>
      <c r="T17" s="410"/>
      <c r="U17" s="410"/>
      <c r="V17" s="410"/>
      <c r="W17" s="410"/>
      <c r="X17" s="410"/>
      <c r="Y17" s="410"/>
      <c r="Z17" s="410"/>
      <c r="AA17" s="410"/>
      <c r="AB17" s="410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</row>
    <row r="18" spans="1:57" x14ac:dyDescent="0.2">
      <c r="A18" s="410"/>
      <c r="B18" s="410"/>
      <c r="C18" s="410"/>
      <c r="D18" s="410"/>
      <c r="E18" s="410"/>
      <c r="F18" s="410"/>
      <c r="G18" s="410"/>
      <c r="H18" s="410"/>
      <c r="I18" s="410"/>
      <c r="J18" s="410"/>
      <c r="K18" s="410"/>
      <c r="L18" s="410"/>
      <c r="M18" s="410"/>
      <c r="N18" s="410"/>
      <c r="O18" s="410"/>
      <c r="P18" s="410"/>
      <c r="Q18" s="410"/>
      <c r="R18" s="410"/>
      <c r="S18" s="410"/>
      <c r="T18" s="410"/>
      <c r="U18" s="410"/>
      <c r="V18" s="410"/>
      <c r="W18" s="410"/>
      <c r="X18" s="410"/>
      <c r="Y18" s="410"/>
      <c r="Z18" s="410"/>
      <c r="AA18" s="410"/>
      <c r="AB18" s="410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</row>
    <row r="19" spans="1:57" x14ac:dyDescent="0.2">
      <c r="A19" s="410"/>
      <c r="B19" s="410"/>
      <c r="C19" s="410"/>
      <c r="D19" s="410"/>
      <c r="E19" s="410"/>
      <c r="F19" s="410"/>
      <c r="G19" s="410"/>
      <c r="H19" s="410"/>
      <c r="I19" s="410"/>
      <c r="J19" s="410"/>
      <c r="K19" s="410"/>
      <c r="L19" s="410"/>
      <c r="M19" s="410"/>
      <c r="N19" s="410"/>
      <c r="O19" s="410"/>
      <c r="P19" s="410"/>
      <c r="Q19" s="410"/>
      <c r="R19" s="410"/>
      <c r="S19" s="410"/>
      <c r="T19" s="410"/>
      <c r="U19" s="410"/>
      <c r="V19" s="410"/>
      <c r="W19" s="410"/>
      <c r="X19" s="410"/>
      <c r="Y19" s="410"/>
      <c r="Z19" s="410"/>
      <c r="AA19" s="410"/>
      <c r="AB19" s="410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</row>
    <row r="20" spans="1:57" x14ac:dyDescent="0.2">
      <c r="A20" s="410"/>
      <c r="B20" s="410"/>
      <c r="C20" s="410"/>
      <c r="D20" s="410"/>
      <c r="E20" s="410"/>
      <c r="F20" s="410"/>
      <c r="G20" s="410"/>
      <c r="H20" s="410"/>
      <c r="I20" s="410"/>
      <c r="J20" s="410"/>
      <c r="K20" s="410"/>
      <c r="L20" s="410"/>
      <c r="M20" s="410"/>
      <c r="N20" s="410"/>
      <c r="O20" s="410"/>
      <c r="P20" s="410"/>
      <c r="Q20" s="410"/>
      <c r="R20" s="410"/>
      <c r="S20" s="410"/>
      <c r="T20" s="410"/>
      <c r="U20" s="410"/>
      <c r="V20" s="410"/>
      <c r="W20" s="410"/>
      <c r="X20" s="410"/>
      <c r="Y20" s="410"/>
      <c r="Z20" s="410"/>
      <c r="AA20" s="410"/>
      <c r="AB20" s="410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</row>
    <row r="21" spans="1:57" x14ac:dyDescent="0.2">
      <c r="A21" s="410"/>
      <c r="B21" s="410"/>
      <c r="C21" s="410"/>
      <c r="D21" s="410"/>
      <c r="E21" s="410"/>
      <c r="F21" s="410"/>
      <c r="G21" s="410"/>
      <c r="H21" s="410"/>
      <c r="I21" s="410"/>
      <c r="J21" s="410"/>
      <c r="K21" s="410"/>
      <c r="L21" s="410"/>
      <c r="M21" s="410"/>
      <c r="N21" s="410"/>
      <c r="O21" s="410"/>
      <c r="P21" s="410"/>
      <c r="Q21" s="410"/>
      <c r="R21" s="410"/>
      <c r="S21" s="410"/>
      <c r="T21" s="410"/>
      <c r="U21" s="410"/>
      <c r="V21" s="410"/>
      <c r="W21" s="410"/>
      <c r="X21" s="410"/>
      <c r="Y21" s="410"/>
      <c r="Z21" s="410"/>
      <c r="AA21" s="410"/>
      <c r="AB21" s="410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</row>
    <row r="22" spans="1:57" x14ac:dyDescent="0.2">
      <c r="A22" s="410"/>
      <c r="B22" s="410"/>
      <c r="C22" s="410"/>
      <c r="D22" s="410"/>
      <c r="E22" s="410"/>
      <c r="F22" s="410"/>
      <c r="G22" s="410"/>
      <c r="H22" s="410"/>
      <c r="I22" s="410"/>
      <c r="J22" s="410"/>
      <c r="K22" s="410"/>
      <c r="L22" s="410"/>
      <c r="M22" s="410"/>
      <c r="N22" s="410"/>
      <c r="O22" s="410"/>
      <c r="P22" s="410"/>
      <c r="Q22" s="410"/>
      <c r="R22" s="410"/>
      <c r="S22" s="410"/>
      <c r="T22" s="410"/>
      <c r="U22" s="410"/>
      <c r="V22" s="410"/>
      <c r="W22" s="410"/>
      <c r="X22" s="410"/>
      <c r="Y22" s="410"/>
      <c r="Z22" s="410"/>
      <c r="AA22" s="410"/>
      <c r="AB22" s="410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</row>
    <row r="23" spans="1:57" x14ac:dyDescent="0.2">
      <c r="A23" s="410"/>
      <c r="B23" s="410"/>
      <c r="C23" s="410"/>
      <c r="D23" s="410"/>
      <c r="E23" s="410"/>
      <c r="F23" s="410"/>
      <c r="G23" s="410"/>
      <c r="H23" s="410"/>
      <c r="I23" s="410"/>
      <c r="J23" s="410"/>
      <c r="K23" s="410"/>
      <c r="L23" s="410"/>
      <c r="M23" s="410"/>
      <c r="N23" s="410"/>
      <c r="O23" s="410"/>
      <c r="P23" s="410"/>
      <c r="Q23" s="410"/>
      <c r="R23" s="410"/>
      <c r="S23" s="410"/>
      <c r="T23" s="410"/>
      <c r="U23" s="410"/>
      <c r="V23" s="410"/>
      <c r="W23" s="410"/>
      <c r="X23" s="410"/>
      <c r="Y23" s="410"/>
      <c r="Z23" s="410"/>
      <c r="AA23" s="410"/>
      <c r="AB23" s="410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</row>
    <row r="24" spans="1:57" x14ac:dyDescent="0.2">
      <c r="A24" s="410"/>
      <c r="B24" s="410"/>
      <c r="C24" s="410"/>
      <c r="D24" s="410"/>
      <c r="E24" s="410"/>
      <c r="F24" s="410"/>
      <c r="G24" s="410"/>
      <c r="H24" s="410"/>
      <c r="I24" s="410"/>
      <c r="J24" s="410"/>
      <c r="K24" s="410"/>
      <c r="L24" s="410"/>
      <c r="M24" s="410"/>
      <c r="N24" s="410"/>
      <c r="O24" s="410"/>
      <c r="P24" s="410"/>
      <c r="Q24" s="410"/>
      <c r="R24" s="410"/>
      <c r="S24" s="410"/>
      <c r="T24" s="410"/>
      <c r="U24" s="410"/>
      <c r="V24" s="410"/>
      <c r="W24" s="410"/>
      <c r="X24" s="410"/>
      <c r="Y24" s="410"/>
      <c r="Z24" s="410"/>
      <c r="AA24" s="410"/>
      <c r="AB24" s="410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</row>
    <row r="25" spans="1:57" x14ac:dyDescent="0.2">
      <c r="A25" s="410"/>
      <c r="B25" s="410"/>
      <c r="C25" s="410"/>
      <c r="D25" s="410"/>
      <c r="E25" s="410"/>
      <c r="F25" s="410"/>
      <c r="G25" s="410"/>
      <c r="H25" s="410"/>
      <c r="I25" s="410"/>
      <c r="J25" s="410"/>
      <c r="K25" s="410"/>
      <c r="L25" s="410"/>
      <c r="M25" s="410"/>
      <c r="N25" s="410"/>
      <c r="O25" s="410"/>
      <c r="P25" s="410"/>
      <c r="Q25" s="410"/>
      <c r="R25" s="410"/>
      <c r="S25" s="410"/>
      <c r="T25" s="410"/>
      <c r="U25" s="410"/>
      <c r="V25" s="410"/>
      <c r="W25" s="410"/>
      <c r="X25" s="410"/>
      <c r="Y25" s="410"/>
      <c r="Z25" s="410"/>
      <c r="AA25" s="410"/>
      <c r="AB25" s="410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</row>
    <row r="26" spans="1:57" x14ac:dyDescent="0.2">
      <c r="A26" s="410"/>
      <c r="B26" s="410"/>
      <c r="C26" s="410"/>
      <c r="D26" s="410"/>
      <c r="E26" s="410"/>
      <c r="F26" s="410"/>
      <c r="G26" s="410"/>
      <c r="H26" s="410"/>
      <c r="I26" s="410"/>
      <c r="J26" s="410"/>
      <c r="K26" s="410"/>
      <c r="L26" s="410"/>
      <c r="M26" s="410"/>
      <c r="N26" s="410"/>
      <c r="O26" s="410"/>
      <c r="P26" s="410"/>
      <c r="Q26" s="410"/>
      <c r="R26" s="410"/>
      <c r="S26" s="410"/>
      <c r="T26" s="410"/>
      <c r="U26" s="410"/>
      <c r="V26" s="410"/>
      <c r="W26" s="410"/>
      <c r="X26" s="410"/>
      <c r="Y26" s="410"/>
      <c r="Z26" s="410"/>
      <c r="AA26" s="410"/>
      <c r="AB26" s="410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</row>
    <row r="27" spans="1:57" x14ac:dyDescent="0.2">
      <c r="A27" s="410"/>
      <c r="B27" s="410"/>
      <c r="C27" s="410"/>
      <c r="D27" s="410"/>
      <c r="E27" s="410"/>
      <c r="F27" s="410"/>
      <c r="G27" s="410"/>
      <c r="H27" s="410"/>
      <c r="I27" s="410"/>
      <c r="J27" s="410"/>
      <c r="K27" s="410"/>
      <c r="L27" s="410"/>
      <c r="M27" s="410"/>
      <c r="N27" s="410"/>
      <c r="O27" s="410"/>
      <c r="P27" s="410"/>
      <c r="Q27" s="410"/>
      <c r="R27" s="410"/>
      <c r="S27" s="410"/>
      <c r="T27" s="410"/>
      <c r="U27" s="410"/>
      <c r="V27" s="410"/>
      <c r="W27" s="410"/>
      <c r="X27" s="410"/>
      <c r="Y27" s="410"/>
      <c r="Z27" s="410"/>
      <c r="AA27" s="410"/>
      <c r="AB27" s="410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</row>
    <row r="28" spans="1:57" x14ac:dyDescent="0.2">
      <c r="A28" s="410"/>
      <c r="B28" s="410"/>
      <c r="C28" s="410"/>
      <c r="D28" s="410"/>
      <c r="E28" s="410"/>
      <c r="F28" s="410"/>
      <c r="G28" s="410"/>
      <c r="H28" s="410"/>
      <c r="I28" s="410"/>
      <c r="J28" s="410"/>
      <c r="K28" s="410"/>
      <c r="L28" s="410"/>
      <c r="M28" s="410"/>
      <c r="N28" s="410"/>
      <c r="O28" s="410"/>
      <c r="P28" s="410"/>
      <c r="Q28" s="410"/>
      <c r="R28" s="410"/>
      <c r="S28" s="410"/>
      <c r="T28" s="410"/>
      <c r="U28" s="410"/>
      <c r="V28" s="410"/>
      <c r="W28" s="410"/>
      <c r="X28" s="410"/>
      <c r="Y28" s="410"/>
      <c r="Z28" s="410"/>
      <c r="AA28" s="410"/>
      <c r="AB28" s="410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</row>
    <row r="29" spans="1:57" x14ac:dyDescent="0.2">
      <c r="A29" s="410"/>
      <c r="B29" s="410"/>
      <c r="C29" s="410"/>
      <c r="D29" s="410"/>
      <c r="E29" s="410"/>
      <c r="F29" s="410"/>
      <c r="G29" s="410"/>
      <c r="H29" s="410"/>
      <c r="I29" s="410"/>
      <c r="J29" s="410"/>
      <c r="K29" s="410"/>
      <c r="L29" s="410"/>
      <c r="M29" s="410"/>
      <c r="N29" s="410"/>
      <c r="O29" s="410"/>
      <c r="P29" s="410"/>
      <c r="Q29" s="410"/>
      <c r="R29" s="410"/>
      <c r="S29" s="410"/>
      <c r="T29" s="410"/>
      <c r="U29" s="410"/>
      <c r="V29" s="410"/>
      <c r="W29" s="410"/>
      <c r="X29" s="410"/>
      <c r="Y29" s="410"/>
      <c r="Z29" s="410"/>
      <c r="AA29" s="410"/>
      <c r="AB29" s="410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</row>
    <row r="30" spans="1:57" x14ac:dyDescent="0.2">
      <c r="A30" s="410"/>
      <c r="B30" s="410"/>
      <c r="C30" s="410"/>
      <c r="D30" s="410"/>
      <c r="E30" s="410"/>
      <c r="F30" s="410"/>
      <c r="G30" s="410"/>
      <c r="H30" s="410"/>
      <c r="I30" s="410"/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/>
      <c r="Z30" s="410"/>
      <c r="AA30" s="410"/>
      <c r="AB30" s="410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</row>
    <row r="31" spans="1:57" x14ac:dyDescent="0.2">
      <c r="A31" s="410"/>
      <c r="B31" s="410"/>
      <c r="C31" s="410"/>
      <c r="D31" s="410"/>
      <c r="E31" s="410"/>
      <c r="F31" s="410"/>
      <c r="G31" s="410"/>
      <c r="H31" s="410"/>
      <c r="I31" s="410"/>
      <c r="J31" s="410"/>
      <c r="K31" s="410"/>
      <c r="L31" s="410"/>
      <c r="M31" s="410"/>
      <c r="N31" s="410"/>
      <c r="O31" s="410"/>
      <c r="P31" s="410"/>
      <c r="Q31" s="410"/>
      <c r="R31" s="410"/>
      <c r="S31" s="410"/>
      <c r="T31" s="410"/>
      <c r="U31" s="410"/>
      <c r="V31" s="410"/>
      <c r="W31" s="410"/>
      <c r="X31" s="410"/>
      <c r="Y31" s="410"/>
      <c r="Z31" s="410"/>
      <c r="AA31" s="410"/>
      <c r="AB31" s="410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</row>
    <row r="32" spans="1:57" x14ac:dyDescent="0.2">
      <c r="A32" s="410"/>
      <c r="B32" s="410"/>
      <c r="C32" s="410"/>
      <c r="D32" s="410"/>
      <c r="E32" s="410"/>
      <c r="F32" s="410"/>
      <c r="G32" s="410"/>
      <c r="H32" s="410"/>
      <c r="I32" s="410"/>
      <c r="J32" s="410"/>
      <c r="K32" s="410"/>
      <c r="L32" s="410"/>
      <c r="M32" s="410"/>
      <c r="N32" s="410"/>
      <c r="O32" s="410"/>
      <c r="P32" s="410"/>
      <c r="Q32" s="410"/>
      <c r="R32" s="410"/>
      <c r="S32" s="410"/>
      <c r="T32" s="410"/>
      <c r="U32" s="410"/>
      <c r="V32" s="410"/>
      <c r="W32" s="410"/>
      <c r="X32" s="410"/>
      <c r="Y32" s="410"/>
      <c r="Z32" s="410"/>
      <c r="AA32" s="410"/>
      <c r="AB32" s="410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</row>
    <row r="33" spans="1:57" x14ac:dyDescent="0.2">
      <c r="A33" s="410"/>
      <c r="B33" s="410"/>
      <c r="C33" s="410"/>
      <c r="D33" s="410"/>
      <c r="E33" s="410"/>
      <c r="F33" s="410"/>
      <c r="G33" s="410"/>
      <c r="H33" s="410"/>
      <c r="I33" s="410"/>
      <c r="J33" s="410"/>
      <c r="K33" s="410"/>
      <c r="L33" s="410"/>
      <c r="M33" s="410"/>
      <c r="N33" s="410"/>
      <c r="O33" s="410"/>
      <c r="P33" s="410"/>
      <c r="Q33" s="410"/>
      <c r="R33" s="410"/>
      <c r="S33" s="410"/>
      <c r="T33" s="410"/>
      <c r="U33" s="410"/>
      <c r="V33" s="410"/>
      <c r="W33" s="410"/>
      <c r="X33" s="410"/>
      <c r="Y33" s="410"/>
      <c r="Z33" s="410"/>
      <c r="AA33" s="410"/>
      <c r="AB33" s="410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</row>
    <row r="34" spans="1:57" x14ac:dyDescent="0.2">
      <c r="A34" s="410"/>
      <c r="B34" s="410"/>
      <c r="C34" s="410"/>
      <c r="D34" s="410"/>
      <c r="E34" s="410"/>
      <c r="F34" s="410"/>
      <c r="G34" s="410"/>
      <c r="H34" s="410"/>
      <c r="I34" s="410"/>
      <c r="J34" s="410"/>
      <c r="K34" s="410"/>
      <c r="L34" s="410"/>
      <c r="M34" s="410"/>
      <c r="N34" s="410"/>
      <c r="O34" s="410"/>
      <c r="P34" s="410"/>
      <c r="Q34" s="410"/>
      <c r="R34" s="410"/>
      <c r="S34" s="410"/>
      <c r="T34" s="410"/>
      <c r="U34" s="410"/>
      <c r="V34" s="410"/>
      <c r="W34" s="410"/>
      <c r="X34" s="410"/>
      <c r="Y34" s="410"/>
      <c r="Z34" s="410"/>
      <c r="AA34" s="410"/>
      <c r="AB34" s="410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</row>
    <row r="35" spans="1:57" x14ac:dyDescent="0.2">
      <c r="A35" s="410"/>
      <c r="B35" s="410"/>
      <c r="C35" s="410"/>
      <c r="D35" s="410"/>
      <c r="E35" s="410"/>
      <c r="F35" s="410"/>
      <c r="G35" s="410"/>
      <c r="H35" s="410"/>
      <c r="I35" s="410"/>
      <c r="J35" s="410"/>
      <c r="K35" s="410"/>
      <c r="L35" s="410"/>
      <c r="M35" s="410"/>
      <c r="N35" s="410"/>
      <c r="O35" s="410"/>
      <c r="P35" s="410"/>
      <c r="Q35" s="410"/>
      <c r="R35" s="410"/>
      <c r="S35" s="410"/>
      <c r="T35" s="410"/>
      <c r="U35" s="410"/>
      <c r="V35" s="410"/>
      <c r="W35" s="410"/>
      <c r="X35" s="410"/>
      <c r="Y35" s="410"/>
      <c r="Z35" s="410"/>
      <c r="AA35" s="410"/>
      <c r="AB35" s="410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</row>
    <row r="36" spans="1:57" x14ac:dyDescent="0.2">
      <c r="A36" s="410"/>
      <c r="B36" s="410"/>
      <c r="C36" s="410"/>
      <c r="D36" s="410"/>
      <c r="E36" s="410"/>
      <c r="F36" s="410"/>
      <c r="G36" s="410"/>
      <c r="H36" s="410"/>
      <c r="I36" s="410"/>
      <c r="J36" s="410"/>
      <c r="K36" s="410"/>
      <c r="L36" s="410"/>
      <c r="M36" s="410"/>
      <c r="N36" s="410"/>
      <c r="O36" s="410"/>
      <c r="P36" s="410"/>
      <c r="Q36" s="410"/>
      <c r="R36" s="410"/>
      <c r="S36" s="410"/>
      <c r="T36" s="410"/>
      <c r="U36" s="410"/>
      <c r="V36" s="410"/>
      <c r="W36" s="410"/>
      <c r="X36" s="410"/>
      <c r="Y36" s="410"/>
      <c r="Z36" s="410"/>
      <c r="AA36" s="410"/>
      <c r="AB36" s="410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</row>
    <row r="37" spans="1:57" x14ac:dyDescent="0.2">
      <c r="A37" s="410"/>
      <c r="B37" s="410"/>
      <c r="C37" s="410"/>
      <c r="D37" s="410"/>
      <c r="E37" s="410"/>
      <c r="F37" s="410"/>
      <c r="G37" s="410"/>
      <c r="H37" s="410"/>
      <c r="I37" s="410"/>
      <c r="J37" s="410"/>
      <c r="K37" s="410"/>
      <c r="L37" s="410"/>
      <c r="M37" s="410"/>
      <c r="N37" s="410"/>
      <c r="O37" s="410"/>
      <c r="P37" s="410"/>
      <c r="Q37" s="410"/>
      <c r="R37" s="410"/>
      <c r="S37" s="410"/>
      <c r="T37" s="410"/>
      <c r="U37" s="410"/>
      <c r="V37" s="410"/>
      <c r="W37" s="410"/>
      <c r="X37" s="410"/>
      <c r="Y37" s="410"/>
      <c r="Z37" s="410"/>
      <c r="AA37" s="410"/>
      <c r="AB37" s="410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</row>
    <row r="38" spans="1:57" x14ac:dyDescent="0.2">
      <c r="A38" s="410"/>
      <c r="B38" s="410"/>
      <c r="C38" s="410"/>
      <c r="D38" s="410"/>
      <c r="E38" s="410"/>
      <c r="F38" s="410"/>
      <c r="G38" s="410"/>
      <c r="H38" s="410"/>
      <c r="I38" s="410"/>
      <c r="J38" s="410"/>
      <c r="K38" s="410"/>
      <c r="L38" s="410"/>
      <c r="M38" s="410"/>
      <c r="N38" s="410"/>
      <c r="O38" s="410"/>
      <c r="P38" s="410"/>
      <c r="Q38" s="410"/>
      <c r="R38" s="410"/>
      <c r="S38" s="410"/>
      <c r="T38" s="410"/>
      <c r="U38" s="410"/>
      <c r="V38" s="410"/>
      <c r="W38" s="410"/>
      <c r="X38" s="410"/>
      <c r="Y38" s="410"/>
      <c r="Z38" s="410"/>
      <c r="AA38" s="410"/>
      <c r="AB38" s="410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</row>
    <row r="39" spans="1:57" x14ac:dyDescent="0.2">
      <c r="A39" s="410"/>
      <c r="B39" s="410"/>
      <c r="C39" s="410"/>
      <c r="D39" s="410"/>
      <c r="E39" s="410"/>
      <c r="F39" s="410"/>
      <c r="G39" s="410"/>
      <c r="H39" s="410"/>
      <c r="I39" s="410"/>
      <c r="J39" s="410"/>
      <c r="K39" s="410"/>
      <c r="L39" s="410"/>
      <c r="M39" s="410"/>
      <c r="N39" s="410"/>
      <c r="O39" s="410"/>
      <c r="P39" s="410"/>
      <c r="Q39" s="410"/>
      <c r="R39" s="410"/>
      <c r="S39" s="410"/>
      <c r="T39" s="410"/>
      <c r="U39" s="410"/>
      <c r="V39" s="410"/>
      <c r="W39" s="410"/>
      <c r="X39" s="410"/>
      <c r="Y39" s="410"/>
      <c r="Z39" s="410"/>
      <c r="AA39" s="410"/>
      <c r="AB39" s="410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</row>
    <row r="40" spans="1:57" x14ac:dyDescent="0.2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</row>
    <row r="41" spans="1:57" x14ac:dyDescent="0.2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</row>
    <row r="42" spans="1:57" x14ac:dyDescent="0.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</row>
    <row r="43" spans="1:57" x14ac:dyDescent="0.2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</row>
    <row r="44" spans="1:57" x14ac:dyDescent="0.2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</row>
    <row r="45" spans="1:57" x14ac:dyDescent="0.2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</row>
    <row r="46" spans="1:57" x14ac:dyDescent="0.2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</row>
    <row r="47" spans="1:57" x14ac:dyDescent="0.2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</row>
    <row r="48" spans="1:57" x14ac:dyDescent="0.2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</row>
    <row r="49" spans="1:57" x14ac:dyDescent="0.2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</row>
    <row r="50" spans="1:57" x14ac:dyDescent="0.2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0436-0CB0-4C11-8EB8-80F00BA01753}">
  <dimension ref="A1:AG58"/>
  <sheetViews>
    <sheetView zoomScaleNormal="100" zoomScaleSheetLayoutView="100" workbookViewId="0">
      <selection activeCell="D6" sqref="D6"/>
    </sheetView>
  </sheetViews>
  <sheetFormatPr defaultRowHeight="15" x14ac:dyDescent="0.2"/>
  <cols>
    <col min="1" max="1" width="41.1640625" customWidth="1"/>
    <col min="2" max="2" width="59.86328125" customWidth="1"/>
    <col min="3" max="3" width="45.87109375" customWidth="1"/>
    <col min="4" max="4" width="58.91796875" customWidth="1"/>
    <col min="5" max="5" width="48.0234375" customWidth="1"/>
    <col min="6" max="6" width="51.65625" customWidth="1"/>
  </cols>
  <sheetData>
    <row r="1" spans="1:33" ht="54.75" customHeight="1" x14ac:dyDescent="0.45">
      <c r="A1" s="422" t="s">
        <v>130</v>
      </c>
      <c r="B1" s="424"/>
      <c r="C1" s="422" t="s">
        <v>131</v>
      </c>
      <c r="D1" s="424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</row>
    <row r="2" spans="1:33" ht="62.25" customHeight="1" x14ac:dyDescent="0.45">
      <c r="A2" s="422" t="s">
        <v>132</v>
      </c>
      <c r="B2" s="424"/>
      <c r="C2" s="422" t="s">
        <v>1</v>
      </c>
      <c r="D2" s="424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8"/>
      <c r="T2" s="428"/>
      <c r="U2" s="428"/>
      <c r="V2" s="428"/>
      <c r="W2" s="428"/>
      <c r="X2" s="428"/>
      <c r="Y2" s="428"/>
      <c r="Z2" s="428"/>
      <c r="AA2" s="428"/>
      <c r="AB2" s="428"/>
      <c r="AC2" s="428"/>
      <c r="AD2" s="428"/>
      <c r="AE2" s="428"/>
      <c r="AF2" s="428"/>
      <c r="AG2" s="428"/>
    </row>
    <row r="3" spans="1:33" ht="55.5" customHeight="1" x14ac:dyDescent="0.45">
      <c r="A3" s="422" t="s">
        <v>133</v>
      </c>
      <c r="B3" s="424"/>
      <c r="C3" s="422" t="s">
        <v>129</v>
      </c>
      <c r="D3" s="426"/>
      <c r="E3" s="427"/>
      <c r="F3" s="427"/>
      <c r="G3" s="427"/>
      <c r="H3" s="427"/>
      <c r="I3" s="427"/>
      <c r="J3" s="427"/>
      <c r="K3" s="427"/>
      <c r="L3" s="427"/>
      <c r="M3" s="427"/>
      <c r="N3" s="427"/>
      <c r="O3" s="427"/>
      <c r="P3" s="427"/>
      <c r="Q3" s="427"/>
      <c r="R3" s="427"/>
      <c r="S3" s="428"/>
      <c r="T3" s="428"/>
      <c r="U3" s="428"/>
      <c r="V3" s="428"/>
      <c r="W3" s="428"/>
      <c r="X3" s="428"/>
      <c r="Y3" s="428"/>
      <c r="Z3" s="428"/>
      <c r="AA3" s="428"/>
      <c r="AB3" s="428"/>
      <c r="AC3" s="428"/>
      <c r="AD3" s="428"/>
      <c r="AE3" s="428"/>
      <c r="AF3" s="428"/>
      <c r="AG3" s="428"/>
    </row>
    <row r="4" spans="1:33" ht="47.25" x14ac:dyDescent="0.7">
      <c r="A4" s="408" t="s">
        <v>6</v>
      </c>
      <c r="B4" s="425" t="str">
        <f>IF(
  AND(ISNUMBER(B1), ISNUMBER(B2), ISNUMBER(B3), ISNUMBER(D1), ISNUMBER(D2), ISNUMBER(D3)),
  (B1*1 + B2*1.5 + B3*2 + D1*1 + D2*1.2 + D3*1.2) / 7.9,
  "CHECK VALUES"
)</f>
        <v>CHECK VALUES</v>
      </c>
      <c r="C4" s="423"/>
      <c r="D4" s="370"/>
      <c r="E4" s="427"/>
      <c r="F4" s="427"/>
      <c r="G4" s="427"/>
      <c r="H4" s="427"/>
      <c r="I4" s="427"/>
      <c r="J4" s="427"/>
      <c r="K4" s="427"/>
      <c r="L4" s="427"/>
      <c r="M4" s="427"/>
      <c r="N4" s="427"/>
      <c r="O4" s="427"/>
      <c r="P4" s="427"/>
      <c r="Q4" s="427"/>
      <c r="R4" s="427"/>
      <c r="S4" s="428"/>
      <c r="T4" s="428"/>
      <c r="U4" s="428"/>
      <c r="V4" s="428"/>
      <c r="W4" s="428"/>
      <c r="X4" s="428"/>
      <c r="Y4" s="428"/>
      <c r="Z4" s="428"/>
      <c r="AA4" s="428"/>
      <c r="AB4" s="428"/>
      <c r="AC4" s="428"/>
      <c r="AD4" s="428"/>
      <c r="AE4" s="428"/>
      <c r="AF4" s="428"/>
      <c r="AG4" s="428"/>
    </row>
    <row r="5" spans="1:33" ht="47.25" x14ac:dyDescent="0.7">
      <c r="A5" s="393"/>
      <c r="B5" s="394"/>
      <c r="C5" s="421" t="e">
        <f ca="1">IF(AND(WEEKDAY(TODAY(),2)&lt;=5, HOUR(NOW())&gt;=16, HOUR(NOW())&lt;24),
    IF(AND(D3&gt;D2,D2&gt;D1,D1&gt;B3,B3&gt;B2,B2&gt;B1)=FALSE,
        IF(AND(D3&lt;D2,D2&lt;D1,D1&lt;B3,B3&lt;B2,B2&lt;B1)=FALSE,
            IF(AND(D3-D2&gt;0,
                  (D3-D2)-(D2-D1)&gt;0,
                  AVERAGE(D1,D2,D3)-AVERAGE(B1,B2,B3)&gt;0,
                  IFERROR(AVERAGE(IF(D3&gt;D2,D3-D2,0),IF(D2&gt;D1,D2-D1,0),IF(D1&gt;B3,D1-B3,0))/
                          AVERAGE(IF(D2&gt;D3,D2-D3,0),IF(D1&gt;D2,D1-D2,0),IF(B3&gt;D1,B3-D1,0)),1)&gt;1),
                "STRONG BUY ENTRY",
                IF(AND(D3-D2&lt;0,
                      (D3-D2)-(D2-D1)&lt;0,
                      AVERAGE(D1,D2,D3)-AVERAGE(B1,B2,B3)&lt;0,
                      IFERROR(AVERAGE(IF(D3&gt;D2,D3-D2,0),IF(D2&gt;D1,D2-D1,0),IF(D1&gt;B3,D1-B3,0))/
                              AVERAGE(IF(D2&gt;D3,D2-D3,0),IF(D1&gt;D2,D1-D2,0),IF(B3&gt;D1,B3-D1,0)),1)&lt;1),
                    "STRONG SELL ENTRY",
                    IF(AND(D3-D2&lt;0,
                          D2-D1&gt;0,
                          IFERROR(AVERAGE(IF(D3&gt;D2,D3-D2,0),IF(D2&gt;D1,D2-D1,0),IF(D1&gt;B3,D1-B3,0))/
                                  AVERAGE(IF(D2&gt;D3,D2-D3,0),IF(D1&gt;D2,D1-D2,0),IF(B3&gt;D1,B3-D1,0)),1)&lt;0.8),
                        "REVERSAL BUY ENTRY",
                        IF(AND(D3-D2&gt;0,
                              D2-D1&lt;0,
                              IFERROR(AVERAGE(IF(D3&gt;D2,D3-D2,0),IF(D2&gt;D1,D2-D1,0),IF(D1&gt;B3,D1-B3,0))/
                                      AVERAGE(IF(D2&gt;D3,D2-D3,0),IF(D1&gt;D2,D1-D2,0),IF(B3&gt;D1,B3-D1,0)),1)&gt;1.2),
                            "REVERSAL SELL ENTRY",
                            IF(D3&gt;D2,"BUY","SELL")
                        )
                    )
                )
            ),
            IF(D3&gt;D2,"BUY","SELL")
        ),
        IF(D3&gt;D2,"BUY","SELL")
    ),
    ""
)</f>
        <v>#DIV/0!</v>
      </c>
      <c r="D5" s="401" t="str" cm="1">
        <f t="array" ref="D5">_xlfn.LET(
    _xlpm.avg_back, AVERAGE(B1, B2, B3, D1, D2),
    _xlpm.price_range, MAX(B1, B2, B3, D1, D2, D3) - MIN(B1, B2, B3, D1, D2, D3) + 0.00001,
    _xlpm.overall_momentum, D3 - B1,
    _xlpm.last_leg, D3 - D2,
    _xlpm.prev_leg, D2 - D1,
    _xlpm.acceleration, _xlpm.last_leg - _xlpm.prev_leg,
    _xlpm.near_high, IF(D3 &gt;= MAX(B1, B2, B3, D1, D2, D3) * 0.999, 1, 0),
    _xlpm.near_low, IF(D3 &lt;= MIN(B1, B2, B3, D1, D2, D3) * 1.001, 1, 0),
    _xlpm.slowing, IF(ABS(_xlpm.last_leg) &lt; 0.7 * ABS(_xlpm.prev_leg), 1, 0),
    _xlpm.reversal_detected, IF(SIGN(_xlpm.last_leg) &lt;&gt; SIGN(_xlpm.prev_leg), 1, 0),
    _xlpm.trap_signal, IF(AND(_xlpm.slowing = 1, OR(_xlpm.near_high = 1, _xlpm.near_low = 1)), 1, 0),
    _xlpm.continuation_detected, IF(AND(SIGN(_xlpm.overall_momentum) = SIGN(_xlpm.last_leg), _xlpm.acceleration &gt;= 0), 1, 0),
    _xlpm.final_decision, IF(
        _xlpm.trap_signal = 1,
            IF(SIGN(_xlpm.last_leg) = 1, "TRAP SELL", "TRAP BUY"),
        IF(_xlpm.reversal_detected = 1,
            IF(SIGN(_xlpm.last_leg) = 1, "REVERSAL BUY", "REVERSAL SELL"),
        IF(_xlpm.continuation_detected = 1,
            IF(SIGN(_xlpm.last_leg) = 1, "CONTINUATION BUY", "CONTINUATION SELL"),
        IF(SIGN(_xlpm.last_leg) = 1, "WEAK BUY", "WEAK SELL")
        ))),
    _xlpm.final_decision
)</f>
        <v>CONTINUATION SELL</v>
      </c>
      <c r="E5" s="427"/>
      <c r="F5" s="427"/>
      <c r="G5" s="427"/>
      <c r="H5" s="427"/>
      <c r="I5" s="427"/>
      <c r="J5" s="427"/>
      <c r="K5" s="427"/>
      <c r="L5" s="427"/>
      <c r="M5" s="427"/>
      <c r="N5" s="427"/>
      <c r="O5" s="427"/>
      <c r="P5" s="427"/>
      <c r="Q5" s="427"/>
      <c r="R5" s="427"/>
      <c r="S5" s="428"/>
      <c r="T5" s="428"/>
      <c r="U5" s="428"/>
      <c r="V5" s="428"/>
      <c r="W5" s="428"/>
      <c r="X5" s="428"/>
      <c r="Y5" s="428"/>
      <c r="Z5" s="428"/>
      <c r="AA5" s="428"/>
      <c r="AB5" s="428"/>
      <c r="AC5" s="428"/>
      <c r="AD5" s="428"/>
      <c r="AE5" s="428"/>
      <c r="AF5" s="428"/>
      <c r="AG5" s="428"/>
    </row>
    <row r="6" spans="1:33" ht="47.25" customHeight="1" x14ac:dyDescent="0.2">
      <c r="A6" s="427"/>
      <c r="B6" s="427"/>
      <c r="C6" s="427"/>
      <c r="D6" s="427"/>
      <c r="E6" s="427"/>
      <c r="F6" s="427"/>
      <c r="G6" s="427"/>
      <c r="H6" s="427"/>
      <c r="I6" s="427"/>
      <c r="J6" s="427"/>
      <c r="K6" s="427"/>
      <c r="L6" s="427"/>
      <c r="M6" s="427"/>
      <c r="N6" s="427"/>
      <c r="O6" s="427"/>
      <c r="P6" s="427"/>
      <c r="Q6" s="427"/>
      <c r="R6" s="427"/>
      <c r="S6" s="428"/>
      <c r="T6" s="428"/>
      <c r="U6" s="428"/>
      <c r="V6" s="428"/>
      <c r="W6" s="428"/>
      <c r="X6" s="428"/>
      <c r="Y6" s="428"/>
      <c r="Z6" s="428"/>
      <c r="AA6" s="428"/>
      <c r="AB6" s="428"/>
      <c r="AC6" s="428"/>
      <c r="AD6" s="428"/>
      <c r="AE6" s="428"/>
      <c r="AF6" s="428"/>
      <c r="AG6" s="428"/>
    </row>
    <row r="7" spans="1:33" ht="52.5" customHeight="1" x14ac:dyDescent="0.2">
      <c r="A7" s="427"/>
      <c r="B7" s="427"/>
      <c r="C7" s="427"/>
      <c r="D7" s="427"/>
      <c r="E7" s="427"/>
      <c r="F7" s="427"/>
      <c r="G7" s="427"/>
      <c r="H7" s="427"/>
      <c r="I7" s="427"/>
      <c r="J7" s="427"/>
      <c r="K7" s="427"/>
      <c r="L7" s="427"/>
      <c r="M7" s="427"/>
      <c r="N7" s="427"/>
      <c r="O7" s="427"/>
      <c r="P7" s="427"/>
      <c r="Q7" s="427"/>
      <c r="R7" s="427"/>
      <c r="S7" s="428"/>
      <c r="T7" s="428"/>
      <c r="U7" s="428"/>
      <c r="V7" s="428"/>
      <c r="W7" s="428"/>
      <c r="X7" s="428"/>
      <c r="Y7" s="428"/>
      <c r="Z7" s="428"/>
      <c r="AA7" s="428"/>
      <c r="AB7" s="428"/>
      <c r="AC7" s="428"/>
      <c r="AD7" s="428"/>
      <c r="AE7" s="428"/>
      <c r="AF7" s="428"/>
      <c r="AG7" s="428"/>
    </row>
    <row r="8" spans="1:33" ht="48" customHeight="1" x14ac:dyDescent="0.2">
      <c r="A8" s="427"/>
      <c r="B8" s="427"/>
      <c r="C8" s="427"/>
      <c r="D8" s="427"/>
      <c r="E8" s="427"/>
      <c r="F8" s="427"/>
      <c r="G8" s="427"/>
      <c r="H8" s="427"/>
      <c r="I8" s="427"/>
      <c r="J8" s="427"/>
      <c r="K8" s="427"/>
      <c r="L8" s="427"/>
      <c r="M8" s="427"/>
      <c r="N8" s="427"/>
      <c r="O8" s="427"/>
      <c r="P8" s="427"/>
      <c r="Q8" s="427"/>
      <c r="R8" s="427"/>
      <c r="S8" s="428"/>
      <c r="T8" s="428"/>
      <c r="U8" s="428"/>
      <c r="V8" s="428"/>
      <c r="W8" s="428"/>
      <c r="X8" s="428"/>
      <c r="Y8" s="428"/>
      <c r="Z8" s="428"/>
      <c r="AA8" s="428"/>
      <c r="AB8" s="428"/>
      <c r="AC8" s="428"/>
      <c r="AD8" s="428"/>
      <c r="AE8" s="428"/>
      <c r="AF8" s="428"/>
      <c r="AG8" s="428"/>
    </row>
    <row r="9" spans="1:33" ht="48.75" customHeight="1" x14ac:dyDescent="0.2">
      <c r="A9" s="427"/>
      <c r="B9" s="427"/>
      <c r="C9" s="427"/>
      <c r="D9" s="427"/>
      <c r="E9" s="427"/>
      <c r="F9" s="427"/>
      <c r="G9" s="427"/>
      <c r="H9" s="427"/>
      <c r="I9" s="427"/>
      <c r="J9" s="427"/>
      <c r="K9" s="427"/>
      <c r="L9" s="427"/>
      <c r="M9" s="427"/>
      <c r="N9" s="427"/>
      <c r="O9" s="427"/>
      <c r="P9" s="427"/>
      <c r="Q9" s="427"/>
      <c r="R9" s="427"/>
      <c r="S9" s="428"/>
      <c r="T9" s="428"/>
      <c r="U9" s="428"/>
      <c r="V9" s="428"/>
      <c r="W9" s="428"/>
      <c r="X9" s="428"/>
      <c r="Y9" s="428"/>
      <c r="Z9" s="428"/>
      <c r="AA9" s="428"/>
      <c r="AB9" s="428"/>
      <c r="AC9" s="428"/>
      <c r="AD9" s="428"/>
      <c r="AE9" s="428"/>
      <c r="AF9" s="428"/>
      <c r="AG9" s="428"/>
    </row>
    <row r="10" spans="1:33" ht="44.25" customHeight="1" x14ac:dyDescent="0.2">
      <c r="A10" s="427"/>
      <c r="B10" s="427"/>
      <c r="C10" s="427"/>
      <c r="D10" s="427"/>
      <c r="E10" s="427"/>
      <c r="F10" s="427"/>
      <c r="G10" s="427"/>
      <c r="H10" s="427"/>
      <c r="I10" s="427"/>
      <c r="J10" s="427"/>
      <c r="K10" s="427"/>
      <c r="L10" s="427"/>
      <c r="M10" s="427"/>
      <c r="N10" s="427"/>
      <c r="O10" s="427"/>
      <c r="P10" s="427"/>
      <c r="Q10" s="427"/>
      <c r="R10" s="427"/>
      <c r="S10" s="428"/>
      <c r="T10" s="428"/>
      <c r="U10" s="428"/>
      <c r="V10" s="428"/>
      <c r="W10" s="428"/>
      <c r="X10" s="428"/>
      <c r="Y10" s="428"/>
      <c r="Z10" s="428"/>
      <c r="AA10" s="428"/>
      <c r="AB10" s="428"/>
      <c r="AC10" s="428"/>
      <c r="AD10" s="428"/>
      <c r="AE10" s="428"/>
      <c r="AF10" s="428"/>
      <c r="AG10" s="428"/>
    </row>
    <row r="11" spans="1:33" ht="44.25" customHeight="1" x14ac:dyDescent="0.2">
      <c r="A11" s="427"/>
      <c r="B11" s="427"/>
      <c r="C11" s="427"/>
      <c r="D11" s="427"/>
      <c r="E11" s="427"/>
      <c r="F11" s="427"/>
      <c r="G11" s="427"/>
      <c r="H11" s="427"/>
      <c r="I11" s="427"/>
      <c r="J11" s="427"/>
      <c r="K11" s="427"/>
      <c r="L11" s="427"/>
      <c r="M11" s="427"/>
      <c r="N11" s="427"/>
      <c r="O11" s="427"/>
      <c r="P11" s="427"/>
      <c r="Q11" s="427"/>
      <c r="R11" s="427"/>
      <c r="S11" s="428"/>
      <c r="T11" s="428"/>
      <c r="U11" s="428"/>
      <c r="V11" s="428"/>
      <c r="W11" s="428"/>
      <c r="X11" s="428"/>
      <c r="Y11" s="428"/>
      <c r="Z11" s="428"/>
      <c r="AA11" s="428"/>
      <c r="AB11" s="428"/>
      <c r="AC11" s="428"/>
      <c r="AD11" s="428"/>
      <c r="AE11" s="428"/>
      <c r="AF11" s="428"/>
      <c r="AG11" s="428"/>
    </row>
    <row r="12" spans="1:33" ht="39" customHeight="1" x14ac:dyDescent="0.2">
      <c r="A12" s="427"/>
      <c r="B12" s="427"/>
      <c r="C12" s="427"/>
      <c r="D12" s="427"/>
      <c r="E12" s="427"/>
      <c r="F12" s="427"/>
      <c r="G12" s="427"/>
      <c r="H12" s="427"/>
      <c r="I12" s="427"/>
      <c r="J12" s="427"/>
      <c r="K12" s="427"/>
      <c r="L12" s="427"/>
      <c r="M12" s="427"/>
      <c r="N12" s="427"/>
      <c r="O12" s="427"/>
      <c r="P12" s="427"/>
      <c r="Q12" s="427"/>
      <c r="R12" s="427"/>
      <c r="S12" s="428"/>
      <c r="T12" s="428"/>
      <c r="U12" s="428"/>
      <c r="V12" s="428"/>
      <c r="W12" s="428"/>
      <c r="X12" s="428"/>
      <c r="Y12" s="428"/>
      <c r="Z12" s="428"/>
      <c r="AA12" s="428"/>
      <c r="AB12" s="428"/>
      <c r="AC12" s="428"/>
      <c r="AD12" s="428"/>
      <c r="AE12" s="428"/>
      <c r="AF12" s="428"/>
      <c r="AG12" s="428"/>
    </row>
    <row r="13" spans="1:33" ht="37.5" customHeight="1" x14ac:dyDescent="0.2">
      <c r="A13" s="427"/>
      <c r="B13" s="427"/>
      <c r="C13" s="427"/>
      <c r="D13" s="427"/>
      <c r="E13" s="427"/>
      <c r="F13" s="427"/>
      <c r="G13" s="427"/>
      <c r="H13" s="427"/>
      <c r="I13" s="427"/>
      <c r="J13" s="427"/>
      <c r="K13" s="427"/>
      <c r="L13" s="427"/>
      <c r="M13" s="427"/>
      <c r="N13" s="427"/>
      <c r="O13" s="427"/>
      <c r="P13" s="427"/>
      <c r="Q13" s="427"/>
      <c r="R13" s="427"/>
      <c r="S13" s="428"/>
      <c r="T13" s="428"/>
      <c r="U13" s="428"/>
      <c r="V13" s="428"/>
      <c r="W13" s="428"/>
      <c r="X13" s="428"/>
      <c r="Y13" s="428"/>
      <c r="Z13" s="428"/>
      <c r="AA13" s="428"/>
      <c r="AB13" s="428"/>
      <c r="AC13" s="428"/>
      <c r="AD13" s="428"/>
      <c r="AE13" s="428"/>
      <c r="AF13" s="428"/>
      <c r="AG13" s="428"/>
    </row>
    <row r="14" spans="1:33" ht="43.5" customHeight="1" x14ac:dyDescent="0.2">
      <c r="A14" s="427"/>
      <c r="B14" s="427"/>
      <c r="C14" s="427"/>
      <c r="D14" s="427"/>
      <c r="E14" s="427"/>
      <c r="F14" s="427"/>
      <c r="G14" s="427"/>
      <c r="H14" s="427"/>
      <c r="I14" s="427"/>
      <c r="J14" s="427"/>
      <c r="K14" s="427"/>
      <c r="L14" s="427"/>
      <c r="M14" s="427"/>
      <c r="N14" s="427"/>
      <c r="O14" s="427"/>
      <c r="P14" s="427"/>
      <c r="Q14" s="427"/>
      <c r="R14" s="427"/>
      <c r="S14" s="428"/>
      <c r="T14" s="428"/>
      <c r="U14" s="428"/>
      <c r="V14" s="428"/>
      <c r="W14" s="428"/>
      <c r="X14" s="428"/>
      <c r="Y14" s="428"/>
      <c r="Z14" s="428"/>
      <c r="AA14" s="428"/>
      <c r="AB14" s="428"/>
      <c r="AC14" s="428"/>
      <c r="AD14" s="428"/>
      <c r="AE14" s="428"/>
      <c r="AF14" s="428"/>
      <c r="AG14" s="428"/>
    </row>
    <row r="15" spans="1:33" ht="38.25" customHeight="1" x14ac:dyDescent="0.2">
      <c r="A15" s="427"/>
      <c r="B15" s="427"/>
      <c r="C15" s="427"/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427"/>
      <c r="O15" s="427"/>
      <c r="P15" s="427"/>
      <c r="Q15" s="427"/>
      <c r="R15" s="427"/>
      <c r="S15" s="428"/>
      <c r="T15" s="428"/>
      <c r="U15" s="428"/>
      <c r="V15" s="428"/>
      <c r="W15" s="428"/>
      <c r="X15" s="428"/>
      <c r="Y15" s="428"/>
      <c r="Z15" s="428"/>
      <c r="AA15" s="428"/>
      <c r="AB15" s="428"/>
      <c r="AC15" s="428"/>
      <c r="AD15" s="428"/>
      <c r="AE15" s="428"/>
      <c r="AF15" s="428"/>
      <c r="AG15" s="428"/>
    </row>
    <row r="16" spans="1:33" ht="37.5" customHeight="1" x14ac:dyDescent="0.2">
      <c r="A16" s="427"/>
      <c r="B16" s="427"/>
      <c r="C16" s="427"/>
      <c r="D16" s="427"/>
      <c r="E16" s="427"/>
      <c r="F16" s="427"/>
      <c r="G16" s="427"/>
      <c r="H16" s="427"/>
      <c r="I16" s="427"/>
      <c r="J16" s="427"/>
      <c r="K16" s="427"/>
      <c r="L16" s="427"/>
      <c r="M16" s="427"/>
      <c r="N16" s="427"/>
      <c r="O16" s="427"/>
      <c r="P16" s="427"/>
      <c r="Q16" s="427"/>
      <c r="R16" s="427"/>
      <c r="S16" s="428"/>
      <c r="T16" s="428"/>
      <c r="U16" s="428"/>
      <c r="V16" s="428"/>
      <c r="W16" s="428"/>
      <c r="X16" s="428"/>
      <c r="Y16" s="428"/>
      <c r="Z16" s="428"/>
      <c r="AA16" s="428"/>
      <c r="AB16" s="428"/>
      <c r="AC16" s="428"/>
      <c r="AD16" s="428"/>
      <c r="AE16" s="428"/>
      <c r="AF16" s="428"/>
      <c r="AG16" s="428"/>
    </row>
    <row r="17" spans="1:33" ht="39" customHeight="1" x14ac:dyDescent="0.2">
      <c r="A17" s="427"/>
      <c r="B17" s="427"/>
      <c r="C17" s="427"/>
      <c r="D17" s="427"/>
      <c r="E17" s="427"/>
      <c r="F17" s="427"/>
      <c r="G17" s="427"/>
      <c r="H17" s="427"/>
      <c r="I17" s="427"/>
      <c r="J17" s="427"/>
      <c r="K17" s="427"/>
      <c r="L17" s="427"/>
      <c r="M17" s="427"/>
      <c r="N17" s="427"/>
      <c r="O17" s="427"/>
      <c r="P17" s="427"/>
      <c r="Q17" s="427"/>
      <c r="R17" s="427"/>
      <c r="S17" s="428"/>
      <c r="T17" s="428"/>
      <c r="U17" s="428"/>
      <c r="V17" s="428"/>
      <c r="W17" s="428"/>
      <c r="X17" s="428"/>
      <c r="Y17" s="428"/>
      <c r="Z17" s="428"/>
      <c r="AA17" s="428"/>
      <c r="AB17" s="428"/>
      <c r="AC17" s="428"/>
      <c r="AD17" s="428"/>
      <c r="AE17" s="428"/>
      <c r="AF17" s="428"/>
      <c r="AG17" s="428"/>
    </row>
    <row r="18" spans="1:33" ht="32.25" customHeight="1" x14ac:dyDescent="0.2">
      <c r="A18" s="427"/>
      <c r="B18" s="427"/>
      <c r="C18" s="427"/>
      <c r="D18" s="427"/>
      <c r="E18" s="427"/>
      <c r="F18" s="427"/>
      <c r="G18" s="427"/>
      <c r="H18" s="427"/>
      <c r="I18" s="427"/>
      <c r="J18" s="427"/>
      <c r="K18" s="427"/>
      <c r="L18" s="427"/>
      <c r="M18" s="427"/>
      <c r="N18" s="427"/>
      <c r="O18" s="427"/>
      <c r="P18" s="427"/>
      <c r="Q18" s="427"/>
      <c r="R18" s="427"/>
      <c r="S18" s="428"/>
      <c r="T18" s="428"/>
      <c r="U18" s="428"/>
      <c r="V18" s="428"/>
      <c r="W18" s="428"/>
      <c r="X18" s="428"/>
      <c r="Y18" s="428"/>
      <c r="Z18" s="428"/>
      <c r="AA18" s="428"/>
      <c r="AB18" s="428"/>
      <c r="AC18" s="428"/>
      <c r="AD18" s="428"/>
      <c r="AE18" s="428"/>
      <c r="AF18" s="428"/>
      <c r="AG18" s="428"/>
    </row>
    <row r="19" spans="1:33" ht="36" customHeight="1" x14ac:dyDescent="0.2">
      <c r="A19" s="427"/>
      <c r="B19" s="427"/>
      <c r="C19" s="427"/>
      <c r="D19" s="427"/>
      <c r="E19" s="427"/>
      <c r="F19" s="427"/>
      <c r="G19" s="427"/>
      <c r="H19" s="427"/>
      <c r="I19" s="427"/>
      <c r="J19" s="427"/>
      <c r="K19" s="427"/>
      <c r="L19" s="427"/>
      <c r="M19" s="427"/>
      <c r="N19" s="427"/>
      <c r="O19" s="427"/>
      <c r="P19" s="427"/>
      <c r="Q19" s="427"/>
      <c r="R19" s="427"/>
      <c r="S19" s="428"/>
      <c r="T19" s="428"/>
      <c r="U19" s="428"/>
      <c r="V19" s="428"/>
      <c r="W19" s="428"/>
      <c r="X19" s="428"/>
      <c r="Y19" s="428"/>
      <c r="Z19" s="428"/>
      <c r="AA19" s="428"/>
      <c r="AB19" s="428"/>
      <c r="AC19" s="428"/>
      <c r="AD19" s="428"/>
      <c r="AE19" s="428"/>
      <c r="AF19" s="428"/>
      <c r="AG19" s="428"/>
    </row>
    <row r="20" spans="1:33" ht="39" customHeight="1" x14ac:dyDescent="0.2">
      <c r="A20" s="427"/>
      <c r="B20" s="427"/>
      <c r="C20" s="427"/>
      <c r="D20" s="427"/>
      <c r="E20" s="427"/>
      <c r="F20" s="427"/>
      <c r="G20" s="427"/>
      <c r="H20" s="427"/>
      <c r="I20" s="427"/>
      <c r="J20" s="427"/>
      <c r="K20" s="427"/>
      <c r="L20" s="427"/>
      <c r="M20" s="427"/>
      <c r="N20" s="427"/>
      <c r="O20" s="427"/>
      <c r="P20" s="427"/>
      <c r="Q20" s="427"/>
      <c r="R20" s="427"/>
      <c r="S20" s="428"/>
      <c r="T20" s="428"/>
      <c r="U20" s="428"/>
      <c r="V20" s="428"/>
      <c r="W20" s="428"/>
      <c r="X20" s="428"/>
      <c r="Y20" s="428"/>
      <c r="Z20" s="428"/>
      <c r="AA20" s="428"/>
      <c r="AB20" s="428"/>
      <c r="AC20" s="428"/>
      <c r="AD20" s="428"/>
      <c r="AE20" s="428"/>
      <c r="AF20" s="428"/>
      <c r="AG20" s="428"/>
    </row>
    <row r="21" spans="1:33" ht="32.25" customHeight="1" x14ac:dyDescent="0.2">
      <c r="A21" s="427"/>
      <c r="B21" s="427"/>
      <c r="C21" s="427"/>
      <c r="D21" s="427"/>
      <c r="E21" s="427"/>
      <c r="F21" s="427"/>
      <c r="G21" s="427"/>
      <c r="H21" s="427"/>
      <c r="I21" s="427"/>
      <c r="J21" s="427"/>
      <c r="K21" s="427"/>
      <c r="L21" s="427"/>
      <c r="M21" s="427"/>
      <c r="N21" s="427"/>
      <c r="O21" s="427"/>
      <c r="P21" s="427"/>
      <c r="Q21" s="427"/>
      <c r="R21" s="427"/>
      <c r="S21" s="428"/>
      <c r="T21" s="428"/>
      <c r="U21" s="428"/>
      <c r="V21" s="428"/>
      <c r="W21" s="428"/>
      <c r="X21" s="428"/>
      <c r="Y21" s="428"/>
      <c r="Z21" s="428"/>
      <c r="AA21" s="428"/>
      <c r="AB21" s="428"/>
      <c r="AC21" s="428"/>
      <c r="AD21" s="428"/>
      <c r="AE21" s="428"/>
      <c r="AF21" s="428"/>
      <c r="AG21" s="428"/>
    </row>
    <row r="22" spans="1:33" ht="46.5" customHeight="1" x14ac:dyDescent="0.2">
      <c r="A22" s="427"/>
      <c r="B22" s="427"/>
      <c r="C22" s="427"/>
      <c r="D22" s="427"/>
      <c r="E22" s="427"/>
      <c r="F22" s="427"/>
      <c r="G22" s="427"/>
      <c r="H22" s="427"/>
      <c r="I22" s="427"/>
      <c r="J22" s="427"/>
      <c r="K22" s="427"/>
      <c r="L22" s="427"/>
      <c r="M22" s="427"/>
      <c r="N22" s="427"/>
      <c r="O22" s="427"/>
      <c r="P22" s="427"/>
      <c r="Q22" s="427"/>
      <c r="R22" s="427"/>
      <c r="S22" s="428"/>
      <c r="T22" s="428"/>
      <c r="U22" s="428"/>
      <c r="V22" s="428"/>
      <c r="W22" s="428"/>
      <c r="X22" s="428"/>
      <c r="Y22" s="428"/>
      <c r="Z22" s="428"/>
      <c r="AA22" s="428"/>
      <c r="AB22" s="428"/>
      <c r="AC22" s="428"/>
      <c r="AD22" s="428"/>
      <c r="AE22" s="428"/>
      <c r="AF22" s="428"/>
      <c r="AG22" s="428"/>
    </row>
    <row r="23" spans="1:33" ht="32.25" customHeight="1" x14ac:dyDescent="0.2">
      <c r="A23" s="427"/>
      <c r="B23" s="427"/>
      <c r="C23" s="427"/>
      <c r="D23" s="427"/>
      <c r="E23" s="427"/>
      <c r="F23" s="427"/>
      <c r="G23" s="427"/>
      <c r="H23" s="427"/>
      <c r="I23" s="427"/>
      <c r="J23" s="427"/>
      <c r="K23" s="427"/>
      <c r="L23" s="427"/>
      <c r="M23" s="427"/>
      <c r="N23" s="427"/>
      <c r="O23" s="427"/>
      <c r="P23" s="427"/>
      <c r="Q23" s="427"/>
      <c r="R23" s="427"/>
      <c r="S23" s="428"/>
      <c r="T23" s="428"/>
      <c r="U23" s="428"/>
      <c r="V23" s="428"/>
      <c r="W23" s="428"/>
      <c r="X23" s="428"/>
      <c r="Y23" s="428"/>
      <c r="Z23" s="428"/>
      <c r="AA23" s="428"/>
      <c r="AB23" s="428"/>
      <c r="AC23" s="428"/>
      <c r="AD23" s="428"/>
      <c r="AE23" s="428"/>
      <c r="AF23" s="428"/>
      <c r="AG23" s="428"/>
    </row>
    <row r="24" spans="1:33" ht="33" customHeight="1" x14ac:dyDescent="0.2">
      <c r="A24" s="427"/>
      <c r="B24" s="427"/>
      <c r="C24" s="427"/>
      <c r="D24" s="427"/>
      <c r="E24" s="427"/>
      <c r="F24" s="427"/>
      <c r="G24" s="427"/>
      <c r="H24" s="427"/>
      <c r="I24" s="427"/>
      <c r="J24" s="427"/>
      <c r="K24" s="427"/>
      <c r="L24" s="427"/>
      <c r="M24" s="427"/>
      <c r="N24" s="427"/>
      <c r="O24" s="427"/>
      <c r="P24" s="427"/>
      <c r="Q24" s="427"/>
      <c r="R24" s="427"/>
      <c r="S24" s="428"/>
      <c r="T24" s="428"/>
      <c r="U24" s="428"/>
      <c r="V24" s="428"/>
      <c r="W24" s="428"/>
      <c r="X24" s="428"/>
      <c r="Y24" s="428"/>
      <c r="Z24" s="428"/>
      <c r="AA24" s="428"/>
      <c r="AB24" s="428"/>
      <c r="AC24" s="428"/>
      <c r="AD24" s="428"/>
      <c r="AE24" s="428"/>
      <c r="AF24" s="428"/>
      <c r="AG24" s="428"/>
    </row>
    <row r="25" spans="1:33" ht="36" customHeight="1" x14ac:dyDescent="0.2">
      <c r="A25" s="427"/>
      <c r="B25" s="427"/>
      <c r="C25" s="427"/>
      <c r="D25" s="427"/>
      <c r="E25" s="427"/>
      <c r="F25" s="427"/>
      <c r="G25" s="427"/>
      <c r="H25" s="427"/>
      <c r="I25" s="427"/>
      <c r="J25" s="427"/>
      <c r="K25" s="427"/>
      <c r="L25" s="427"/>
      <c r="M25" s="427"/>
      <c r="N25" s="427"/>
      <c r="O25" s="427"/>
      <c r="P25" s="427"/>
      <c r="Q25" s="427"/>
      <c r="R25" s="427"/>
      <c r="S25" s="428"/>
      <c r="T25" s="428"/>
      <c r="U25" s="428"/>
      <c r="V25" s="428"/>
      <c r="W25" s="428"/>
      <c r="X25" s="428"/>
      <c r="Y25" s="428"/>
      <c r="Z25" s="428"/>
      <c r="AA25" s="428"/>
      <c r="AB25" s="428"/>
      <c r="AC25" s="428"/>
      <c r="AD25" s="428"/>
      <c r="AE25" s="428"/>
      <c r="AF25" s="428"/>
      <c r="AG25" s="428"/>
    </row>
    <row r="26" spans="1:33" ht="34.5" customHeight="1" x14ac:dyDescent="0.2">
      <c r="A26" s="427"/>
      <c r="B26" s="427"/>
      <c r="C26" s="427"/>
      <c r="D26" s="427"/>
      <c r="E26" s="427"/>
      <c r="F26" s="427"/>
      <c r="G26" s="427"/>
      <c r="H26" s="427"/>
      <c r="I26" s="427"/>
      <c r="J26" s="427"/>
      <c r="K26" s="427"/>
      <c r="L26" s="427"/>
      <c r="M26" s="427"/>
      <c r="N26" s="427"/>
      <c r="O26" s="427"/>
      <c r="P26" s="427"/>
      <c r="Q26" s="427"/>
      <c r="R26" s="427"/>
      <c r="S26" s="428"/>
      <c r="T26" s="428"/>
      <c r="U26" s="428"/>
      <c r="V26" s="428"/>
      <c r="W26" s="428"/>
      <c r="X26" s="428"/>
      <c r="Y26" s="428"/>
      <c r="Z26" s="428"/>
      <c r="AA26" s="428"/>
      <c r="AB26" s="428"/>
      <c r="AC26" s="428"/>
      <c r="AD26" s="428"/>
      <c r="AE26" s="428"/>
      <c r="AF26" s="428"/>
      <c r="AG26" s="428"/>
    </row>
    <row r="27" spans="1:33" ht="33.75" customHeight="1" x14ac:dyDescent="0.2">
      <c r="A27" s="427"/>
      <c r="B27" s="427"/>
      <c r="C27" s="427"/>
      <c r="D27" s="427"/>
      <c r="E27" s="427"/>
      <c r="F27" s="427"/>
      <c r="G27" s="427"/>
      <c r="H27" s="427"/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8"/>
      <c r="T27" s="428"/>
      <c r="U27" s="428"/>
      <c r="V27" s="428"/>
      <c r="W27" s="428"/>
      <c r="X27" s="428"/>
      <c r="Y27" s="428"/>
      <c r="Z27" s="428"/>
      <c r="AA27" s="428"/>
      <c r="AB27" s="428"/>
      <c r="AC27" s="428"/>
      <c r="AD27" s="428"/>
      <c r="AE27" s="428"/>
      <c r="AF27" s="428"/>
      <c r="AG27" s="428"/>
    </row>
    <row r="28" spans="1:33" ht="39" customHeight="1" x14ac:dyDescent="0.2">
      <c r="A28" s="427"/>
      <c r="B28" s="427"/>
      <c r="C28" s="427"/>
      <c r="D28" s="427"/>
      <c r="E28" s="427"/>
      <c r="F28" s="427"/>
      <c r="G28" s="427"/>
      <c r="H28" s="427"/>
      <c r="I28" s="427"/>
      <c r="J28" s="427"/>
      <c r="K28" s="427"/>
      <c r="L28" s="427"/>
      <c r="M28" s="427"/>
      <c r="N28" s="427"/>
      <c r="O28" s="427"/>
      <c r="P28" s="427"/>
      <c r="Q28" s="427"/>
      <c r="R28" s="427"/>
      <c r="S28" s="428"/>
      <c r="T28" s="428"/>
      <c r="U28" s="428"/>
      <c r="V28" s="428"/>
      <c r="W28" s="428"/>
      <c r="X28" s="428"/>
      <c r="Y28" s="428"/>
      <c r="Z28" s="428"/>
      <c r="AA28" s="428"/>
      <c r="AB28" s="428"/>
      <c r="AC28" s="428"/>
      <c r="AD28" s="428"/>
      <c r="AE28" s="428"/>
      <c r="AF28" s="428"/>
      <c r="AG28" s="428"/>
    </row>
    <row r="29" spans="1:33" ht="30.75" customHeight="1" x14ac:dyDescent="0.2">
      <c r="A29" s="427"/>
      <c r="B29" s="427"/>
      <c r="C29" s="427"/>
      <c r="D29" s="427"/>
      <c r="E29" s="427"/>
      <c r="F29" s="427"/>
      <c r="G29" s="427"/>
      <c r="H29" s="427"/>
      <c r="I29" s="427"/>
      <c r="J29" s="427"/>
      <c r="K29" s="427"/>
      <c r="L29" s="427"/>
      <c r="M29" s="427"/>
      <c r="N29" s="427"/>
      <c r="O29" s="427"/>
      <c r="P29" s="427"/>
      <c r="Q29" s="427"/>
      <c r="R29" s="427"/>
      <c r="S29" s="428"/>
      <c r="T29" s="428"/>
      <c r="U29" s="428"/>
      <c r="V29" s="428"/>
      <c r="W29" s="428"/>
      <c r="X29" s="428"/>
      <c r="Y29" s="428"/>
      <c r="Z29" s="428"/>
      <c r="AA29" s="428"/>
      <c r="AB29" s="428"/>
      <c r="AC29" s="428"/>
      <c r="AD29" s="428"/>
      <c r="AE29" s="428"/>
      <c r="AF29" s="428"/>
      <c r="AG29" s="428"/>
    </row>
    <row r="30" spans="1:33" ht="33.75" customHeight="1" x14ac:dyDescent="0.2">
      <c r="A30" s="427"/>
      <c r="B30" s="427"/>
      <c r="C30" s="427"/>
      <c r="D30" s="427"/>
      <c r="E30" s="427"/>
      <c r="F30" s="427"/>
      <c r="G30" s="427"/>
      <c r="H30" s="427"/>
      <c r="I30" s="427"/>
      <c r="J30" s="427"/>
      <c r="K30" s="427"/>
      <c r="L30" s="427"/>
      <c r="M30" s="427"/>
      <c r="N30" s="427"/>
      <c r="O30" s="427"/>
      <c r="P30" s="427"/>
      <c r="Q30" s="427"/>
      <c r="R30" s="427"/>
      <c r="S30" s="428"/>
      <c r="T30" s="428"/>
      <c r="U30" s="428"/>
      <c r="V30" s="428"/>
      <c r="W30" s="428"/>
      <c r="X30" s="428"/>
      <c r="Y30" s="428"/>
      <c r="Z30" s="428"/>
      <c r="AA30" s="428"/>
      <c r="AB30" s="428"/>
      <c r="AC30" s="428"/>
      <c r="AD30" s="428"/>
      <c r="AE30" s="428"/>
      <c r="AF30" s="428"/>
      <c r="AG30" s="428"/>
    </row>
    <row r="31" spans="1:33" ht="29.25" customHeight="1" x14ac:dyDescent="0.2">
      <c r="A31" s="427"/>
      <c r="B31" s="427"/>
      <c r="C31" s="427"/>
      <c r="D31" s="427"/>
      <c r="E31" s="427"/>
      <c r="F31" s="427"/>
      <c r="G31" s="427"/>
      <c r="H31" s="427"/>
      <c r="I31" s="427"/>
      <c r="J31" s="427"/>
      <c r="K31" s="427"/>
      <c r="L31" s="427"/>
      <c r="M31" s="427"/>
      <c r="N31" s="427"/>
      <c r="O31" s="427"/>
      <c r="P31" s="427"/>
      <c r="Q31" s="427"/>
      <c r="R31" s="427"/>
      <c r="S31" s="428"/>
      <c r="T31" s="428"/>
      <c r="U31" s="428"/>
      <c r="V31" s="428"/>
      <c r="W31" s="428"/>
      <c r="X31" s="428"/>
      <c r="Y31" s="428"/>
      <c r="Z31" s="428"/>
      <c r="AA31" s="428"/>
      <c r="AB31" s="428"/>
      <c r="AC31" s="428"/>
      <c r="AD31" s="428"/>
      <c r="AE31" s="428"/>
      <c r="AF31" s="428"/>
      <c r="AG31" s="428"/>
    </row>
    <row r="32" spans="1:33" ht="28.5" customHeight="1" x14ac:dyDescent="0.2">
      <c r="A32" s="427"/>
      <c r="B32" s="427"/>
      <c r="C32" s="427"/>
      <c r="D32" s="427"/>
      <c r="E32" s="427"/>
      <c r="F32" s="427"/>
      <c r="G32" s="427"/>
      <c r="H32" s="427"/>
      <c r="I32" s="427"/>
      <c r="J32" s="427"/>
      <c r="K32" s="427"/>
      <c r="L32" s="427"/>
      <c r="M32" s="427"/>
      <c r="N32" s="427"/>
      <c r="O32" s="427"/>
      <c r="P32" s="427"/>
      <c r="Q32" s="427"/>
      <c r="R32" s="427"/>
      <c r="S32" s="428"/>
      <c r="T32" s="428"/>
      <c r="U32" s="428"/>
      <c r="V32" s="428"/>
      <c r="W32" s="428"/>
      <c r="X32" s="428"/>
      <c r="Y32" s="428"/>
      <c r="Z32" s="428"/>
      <c r="AA32" s="428"/>
      <c r="AB32" s="428"/>
      <c r="AC32" s="428"/>
      <c r="AD32" s="428"/>
      <c r="AE32" s="428"/>
      <c r="AF32" s="428"/>
      <c r="AG32" s="428"/>
    </row>
    <row r="33" spans="1:33" ht="31.5" customHeight="1" x14ac:dyDescent="0.2">
      <c r="A33" s="427"/>
      <c r="B33" s="427"/>
      <c r="C33" s="427"/>
      <c r="D33" s="427"/>
      <c r="E33" s="427"/>
      <c r="F33" s="427"/>
      <c r="G33" s="427"/>
      <c r="H33" s="427"/>
      <c r="I33" s="427"/>
      <c r="J33" s="427"/>
      <c r="K33" s="427"/>
      <c r="L33" s="427"/>
      <c r="M33" s="427"/>
      <c r="N33" s="427"/>
      <c r="O33" s="427"/>
      <c r="P33" s="427"/>
      <c r="Q33" s="427"/>
      <c r="R33" s="427"/>
      <c r="S33" s="428"/>
      <c r="T33" s="428"/>
      <c r="U33" s="428"/>
      <c r="V33" s="428"/>
      <c r="W33" s="428"/>
      <c r="X33" s="428"/>
      <c r="Y33" s="428"/>
      <c r="Z33" s="428"/>
      <c r="AA33" s="428"/>
      <c r="AB33" s="428"/>
      <c r="AC33" s="428"/>
      <c r="AD33" s="428"/>
      <c r="AE33" s="428"/>
      <c r="AF33" s="428"/>
      <c r="AG33" s="428"/>
    </row>
    <row r="34" spans="1:33" ht="29.25" customHeight="1" x14ac:dyDescent="0.2">
      <c r="A34" s="427"/>
      <c r="B34" s="427"/>
      <c r="C34" s="427"/>
      <c r="D34" s="427"/>
      <c r="E34" s="427"/>
      <c r="F34" s="427"/>
      <c r="G34" s="427"/>
      <c r="H34" s="427"/>
      <c r="I34" s="427"/>
      <c r="J34" s="427"/>
      <c r="K34" s="427"/>
      <c r="L34" s="427"/>
      <c r="M34" s="427"/>
      <c r="N34" s="427"/>
      <c r="O34" s="427"/>
      <c r="P34" s="427"/>
      <c r="Q34" s="427"/>
      <c r="R34" s="427"/>
      <c r="S34" s="428"/>
      <c r="T34" s="428"/>
      <c r="U34" s="428"/>
      <c r="V34" s="428"/>
      <c r="W34" s="428"/>
      <c r="X34" s="428"/>
      <c r="Y34" s="428"/>
      <c r="Z34" s="428"/>
      <c r="AA34" s="428"/>
      <c r="AB34" s="428"/>
      <c r="AC34" s="428"/>
      <c r="AD34" s="428"/>
      <c r="AE34" s="428"/>
      <c r="AF34" s="428"/>
      <c r="AG34" s="428"/>
    </row>
    <row r="35" spans="1:33" ht="30.75" customHeight="1" x14ac:dyDescent="0.2">
      <c r="A35" s="427"/>
      <c r="B35" s="427"/>
      <c r="C35" s="427"/>
      <c r="D35" s="427"/>
      <c r="E35" s="427"/>
      <c r="F35" s="427"/>
      <c r="G35" s="427"/>
      <c r="H35" s="427"/>
      <c r="I35" s="71"/>
      <c r="J35" s="71"/>
      <c r="K35" s="71"/>
      <c r="L35" s="71"/>
      <c r="M35" s="71"/>
      <c r="N35" s="71"/>
      <c r="O35" s="71"/>
      <c r="P35" s="71"/>
      <c r="Q35" s="71"/>
      <c r="R35" s="71"/>
    </row>
    <row r="36" spans="1:33" ht="30" customHeight="1" x14ac:dyDescent="0.2">
      <c r="A36" s="427"/>
      <c r="B36" s="427"/>
      <c r="C36" s="427"/>
      <c r="D36" s="427"/>
      <c r="E36" s="427"/>
      <c r="F36" s="427"/>
      <c r="G36" s="427"/>
      <c r="H36" s="427"/>
      <c r="I36" s="71"/>
      <c r="J36" s="71"/>
      <c r="K36" s="71"/>
      <c r="L36" s="71"/>
      <c r="M36" s="71"/>
      <c r="N36" s="71"/>
      <c r="O36" s="71"/>
      <c r="P36" s="71"/>
      <c r="Q36" s="71"/>
      <c r="R36" s="71"/>
    </row>
    <row r="37" spans="1:33" ht="32.25" customHeight="1" x14ac:dyDescent="0.2">
      <c r="A37" s="427"/>
      <c r="B37" s="427"/>
      <c r="C37" s="427"/>
      <c r="D37" s="427"/>
      <c r="E37" s="427"/>
      <c r="F37" s="427"/>
      <c r="G37" s="427"/>
      <c r="H37" s="427"/>
      <c r="I37" s="71"/>
      <c r="J37" s="71"/>
      <c r="K37" s="71"/>
      <c r="L37" s="71"/>
      <c r="M37" s="71"/>
      <c r="N37" s="71"/>
      <c r="O37" s="71"/>
      <c r="P37" s="71"/>
      <c r="Q37" s="71"/>
      <c r="R37" s="71"/>
    </row>
    <row r="38" spans="1:33" ht="27" customHeight="1" x14ac:dyDescent="0.2">
      <c r="A38" s="427"/>
      <c r="B38" s="427"/>
      <c r="C38" s="427"/>
      <c r="D38" s="427"/>
      <c r="E38" s="427"/>
      <c r="F38" s="427"/>
      <c r="G38" s="427"/>
      <c r="H38" s="427"/>
      <c r="I38" s="71"/>
      <c r="J38" s="71"/>
      <c r="K38" s="71"/>
      <c r="L38" s="71"/>
      <c r="M38" s="71"/>
      <c r="N38" s="71"/>
      <c r="O38" s="71"/>
      <c r="P38" s="71"/>
      <c r="Q38" s="71"/>
      <c r="R38" s="71"/>
    </row>
    <row r="39" spans="1:33" x14ac:dyDescent="0.2">
      <c r="A39" s="427"/>
      <c r="B39" s="427"/>
      <c r="C39" s="427"/>
      <c r="D39" s="427"/>
      <c r="E39" s="427"/>
      <c r="F39" s="427"/>
      <c r="G39" s="427"/>
      <c r="H39" s="427"/>
      <c r="I39" s="71"/>
      <c r="J39" s="71"/>
      <c r="K39" s="71"/>
      <c r="L39" s="71"/>
      <c r="M39" s="71"/>
      <c r="N39" s="71"/>
      <c r="O39" s="71"/>
      <c r="P39" s="71"/>
      <c r="Q39" s="71"/>
      <c r="R39" s="71"/>
    </row>
    <row r="40" spans="1:33" x14ac:dyDescent="0.2">
      <c r="A40" s="427"/>
      <c r="B40" s="427"/>
      <c r="C40" s="427"/>
      <c r="D40" s="427"/>
      <c r="E40" s="427"/>
      <c r="F40" s="427"/>
      <c r="G40" s="427"/>
      <c r="H40" s="427"/>
      <c r="I40" s="71"/>
      <c r="J40" s="71"/>
      <c r="K40" s="71"/>
      <c r="L40" s="71"/>
      <c r="M40" s="71"/>
      <c r="N40" s="71"/>
      <c r="O40" s="71"/>
      <c r="P40" s="71"/>
      <c r="Q40" s="71"/>
      <c r="R40" s="71"/>
    </row>
    <row r="41" spans="1:33" x14ac:dyDescent="0.2">
      <c r="A41" s="427"/>
      <c r="B41" s="427"/>
      <c r="C41" s="427"/>
      <c r="D41" s="427"/>
      <c r="E41" s="427"/>
      <c r="F41" s="427"/>
      <c r="G41" s="427"/>
      <c r="H41" s="427"/>
      <c r="I41" s="71"/>
      <c r="J41" s="71"/>
      <c r="K41" s="71"/>
      <c r="L41" s="71"/>
      <c r="M41" s="71"/>
      <c r="N41" s="71"/>
      <c r="O41" s="71"/>
      <c r="P41" s="71"/>
      <c r="Q41" s="71"/>
      <c r="R41" s="71"/>
    </row>
    <row r="42" spans="1:33" x14ac:dyDescent="0.2">
      <c r="A42" s="427"/>
      <c r="B42" s="427"/>
      <c r="C42" s="427"/>
      <c r="D42" s="427"/>
      <c r="E42" s="427"/>
      <c r="F42" s="427"/>
      <c r="G42" s="427"/>
      <c r="H42" s="427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33" x14ac:dyDescent="0.2">
      <c r="A43" s="427"/>
      <c r="B43" s="427"/>
      <c r="C43" s="427"/>
      <c r="D43" s="427"/>
      <c r="E43" s="427"/>
      <c r="F43" s="427"/>
      <c r="G43" s="427"/>
      <c r="H43" s="427"/>
      <c r="I43" s="71"/>
      <c r="J43" s="71"/>
      <c r="K43" s="71"/>
      <c r="L43" s="71"/>
      <c r="M43" s="71"/>
      <c r="N43" s="71"/>
      <c r="O43" s="71"/>
      <c r="P43" s="71"/>
      <c r="Q43" s="71"/>
      <c r="R43" s="71"/>
    </row>
    <row r="44" spans="1:33" x14ac:dyDescent="0.2">
      <c r="A44" s="427"/>
      <c r="B44" s="427"/>
      <c r="C44" s="427"/>
      <c r="D44" s="427"/>
      <c r="E44" s="427"/>
      <c r="F44" s="427"/>
      <c r="G44" s="427"/>
      <c r="H44" s="427"/>
      <c r="I44" s="71"/>
      <c r="J44" s="71"/>
      <c r="K44" s="71"/>
      <c r="L44" s="71"/>
      <c r="M44" s="71"/>
      <c r="N44" s="71"/>
      <c r="O44" s="71"/>
      <c r="P44" s="71"/>
      <c r="Q44" s="71"/>
      <c r="R44" s="71"/>
    </row>
    <row r="45" spans="1:33" x14ac:dyDescent="0.2">
      <c r="A45" s="427"/>
      <c r="B45" s="427"/>
      <c r="C45" s="427"/>
      <c r="D45" s="427"/>
      <c r="E45" s="427"/>
      <c r="F45" s="427"/>
      <c r="G45" s="427"/>
      <c r="H45" s="427"/>
      <c r="I45" s="71"/>
      <c r="J45" s="71"/>
      <c r="K45" s="71"/>
      <c r="L45" s="71"/>
      <c r="M45" s="71"/>
      <c r="N45" s="71"/>
      <c r="O45" s="71"/>
      <c r="P45" s="71"/>
      <c r="Q45" s="71"/>
      <c r="R45" s="71"/>
    </row>
    <row r="46" spans="1:33" x14ac:dyDescent="0.2">
      <c r="A46" s="427"/>
      <c r="B46" s="427"/>
      <c r="C46" s="427"/>
      <c r="D46" s="427"/>
      <c r="E46" s="427"/>
      <c r="F46" s="427"/>
      <c r="G46" s="427"/>
      <c r="H46" s="427"/>
      <c r="I46" s="71"/>
      <c r="J46" s="71"/>
      <c r="K46" s="71"/>
      <c r="L46" s="71"/>
      <c r="M46" s="71"/>
      <c r="N46" s="71"/>
      <c r="O46" s="71"/>
      <c r="P46" s="71"/>
      <c r="Q46" s="71"/>
      <c r="R46" s="71"/>
    </row>
    <row r="47" spans="1:33" x14ac:dyDescent="0.2">
      <c r="A47" s="427"/>
      <c r="B47" s="427"/>
      <c r="C47" s="427"/>
      <c r="D47" s="427"/>
      <c r="E47" s="427"/>
      <c r="F47" s="427"/>
      <c r="G47" s="427"/>
      <c r="H47" s="427"/>
      <c r="I47" s="71"/>
      <c r="J47" s="71"/>
      <c r="K47" s="71"/>
      <c r="L47" s="71"/>
      <c r="M47" s="71"/>
      <c r="N47" s="71"/>
      <c r="O47" s="71"/>
      <c r="P47" s="71"/>
      <c r="Q47" s="71"/>
      <c r="R47" s="71"/>
    </row>
    <row r="48" spans="1:33" x14ac:dyDescent="0.2">
      <c r="A48" s="427"/>
      <c r="B48" s="427"/>
      <c r="C48" s="427"/>
      <c r="D48" s="427"/>
      <c r="E48" s="427"/>
      <c r="F48" s="427"/>
      <c r="G48" s="427"/>
      <c r="H48" s="427"/>
      <c r="I48" s="71"/>
      <c r="J48" s="71"/>
      <c r="K48" s="71"/>
      <c r="L48" s="71"/>
      <c r="M48" s="71"/>
      <c r="N48" s="71"/>
      <c r="O48" s="71"/>
      <c r="P48" s="71"/>
      <c r="Q48" s="71"/>
      <c r="R48" s="71"/>
    </row>
    <row r="49" spans="1:18" x14ac:dyDescent="0.2">
      <c r="A49" s="427"/>
      <c r="B49" s="427"/>
      <c r="C49" s="427"/>
      <c r="D49" s="427"/>
      <c r="E49" s="427"/>
      <c r="F49" s="427"/>
      <c r="G49" s="427"/>
      <c r="H49" s="427"/>
      <c r="I49" s="71"/>
      <c r="J49" s="71"/>
      <c r="K49" s="71"/>
      <c r="L49" s="71"/>
      <c r="M49" s="71"/>
      <c r="N49" s="71"/>
      <c r="O49" s="71"/>
      <c r="P49" s="71"/>
      <c r="Q49" s="71"/>
      <c r="R49" s="71"/>
    </row>
    <row r="50" spans="1:18" x14ac:dyDescent="0.2">
      <c r="A50" s="427"/>
      <c r="B50" s="427"/>
      <c r="C50" s="427"/>
      <c r="D50" s="427"/>
      <c r="E50" s="427"/>
      <c r="F50" s="427"/>
      <c r="G50" s="427"/>
      <c r="H50" s="427"/>
      <c r="I50" s="71"/>
      <c r="J50" s="71"/>
      <c r="K50" s="71"/>
      <c r="L50" s="71"/>
      <c r="M50" s="71"/>
      <c r="N50" s="71"/>
      <c r="O50" s="71"/>
      <c r="P50" s="71"/>
      <c r="Q50" s="71"/>
      <c r="R50" s="71"/>
    </row>
    <row r="51" spans="1:18" x14ac:dyDescent="0.2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</row>
    <row r="52" spans="1:18" x14ac:dyDescent="0.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</row>
    <row r="53" spans="1:18" x14ac:dyDescent="0.2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</row>
    <row r="54" spans="1:18" x14ac:dyDescent="0.2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</row>
    <row r="55" spans="1:18" x14ac:dyDescent="0.2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</row>
    <row r="56" spans="1:18" x14ac:dyDescent="0.2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</row>
    <row r="57" spans="1:18" x14ac:dyDescent="0.2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</row>
    <row r="58" spans="1:18" x14ac:dyDescent="0.2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C5CA-F590-4C6E-A70B-87CD208931EE}">
  <dimension ref="A1"/>
  <sheetViews>
    <sheetView workbookViewId="0"/>
  </sheetViews>
  <sheetFormatPr defaultColWidth="8.875" defaultRowHeight="15" x14ac:dyDescent="0.2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53A9-311B-42C7-AFFF-F675D7DFA1B9}">
  <dimension ref="A1:BQ68"/>
  <sheetViews>
    <sheetView tabSelected="1" workbookViewId="0">
      <selection activeCell="C9" sqref="C9"/>
    </sheetView>
  </sheetViews>
  <sheetFormatPr defaultRowHeight="15" x14ac:dyDescent="0.2"/>
  <cols>
    <col min="1" max="1" width="59.99609375" customWidth="1"/>
    <col min="2" max="2" width="71.4296875" customWidth="1"/>
    <col min="3" max="3" width="55.69140625" customWidth="1"/>
    <col min="4" max="4" width="69.81640625" customWidth="1"/>
    <col min="5" max="5" width="42.5078125" customWidth="1"/>
    <col min="6" max="6" width="40.89453125" customWidth="1"/>
    <col min="7" max="7" width="43.1796875" customWidth="1"/>
    <col min="8" max="8" width="44.66015625" customWidth="1"/>
    <col min="9" max="9" width="34.83984375" customWidth="1"/>
    <col min="10" max="10" width="33.62890625" customWidth="1"/>
    <col min="11" max="11" width="33.08984375" customWidth="1"/>
    <col min="12" max="12" width="32.5546875" customWidth="1"/>
    <col min="13" max="13" width="29.86328125" customWidth="1"/>
    <col min="14" max="14" width="38.47265625" customWidth="1"/>
    <col min="15" max="15" width="34.83984375" customWidth="1"/>
    <col min="16" max="16" width="32.1484375" customWidth="1"/>
    <col min="17" max="17" width="33.765625" customWidth="1"/>
    <col min="18" max="18" width="25.69140625" customWidth="1"/>
  </cols>
  <sheetData>
    <row r="1" spans="1:69" ht="82.5" customHeight="1" x14ac:dyDescent="0.45">
      <c r="A1" s="451" t="s">
        <v>130</v>
      </c>
      <c r="B1" s="456">
        <v>1.18703</v>
      </c>
      <c r="C1" s="451" t="s">
        <v>131</v>
      </c>
      <c r="D1" s="454">
        <v>1.1873800000000001</v>
      </c>
      <c r="E1" s="442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  <c r="S1" s="443"/>
      <c r="T1" s="443"/>
      <c r="U1" s="443"/>
      <c r="V1" s="443"/>
      <c r="W1" s="443"/>
      <c r="X1" s="443"/>
      <c r="Y1" s="443"/>
      <c r="Z1" s="443"/>
      <c r="AA1" s="443"/>
      <c r="AB1" s="439"/>
      <c r="AC1" s="439"/>
      <c r="AD1" s="439"/>
      <c r="AE1" s="439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</row>
    <row r="2" spans="1:69" ht="73.5" customHeight="1" x14ac:dyDescent="0.45">
      <c r="A2" s="451" t="s">
        <v>132</v>
      </c>
      <c r="B2" s="453">
        <v>1.18713</v>
      </c>
      <c r="C2" s="451" t="s">
        <v>1</v>
      </c>
      <c r="D2" s="454">
        <v>1.1873100000000001</v>
      </c>
      <c r="E2" s="442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443"/>
      <c r="X2" s="443"/>
      <c r="Y2" s="443"/>
      <c r="Z2" s="443"/>
      <c r="AA2" s="443"/>
      <c r="AB2" s="439"/>
      <c r="AC2" s="439"/>
      <c r="AD2" s="439"/>
      <c r="AE2" s="439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</row>
    <row r="3" spans="1:69" ht="70.5" customHeight="1" x14ac:dyDescent="0.45">
      <c r="A3" s="451" t="s">
        <v>150</v>
      </c>
      <c r="B3" s="453">
        <v>1.1871799999999999</v>
      </c>
      <c r="C3" s="451" t="s">
        <v>129</v>
      </c>
      <c r="D3" s="454">
        <v>1.1873499999999999</v>
      </c>
      <c r="E3" s="442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443"/>
      <c r="X3" s="443"/>
      <c r="Y3" s="443"/>
      <c r="Z3" s="443"/>
      <c r="AA3" s="443"/>
      <c r="AB3" s="439"/>
      <c r="AC3" s="439"/>
      <c r="AD3" s="439"/>
      <c r="AE3" s="439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</row>
    <row r="4" spans="1:69" ht="62.25" customHeight="1" x14ac:dyDescent="0.6">
      <c r="A4" s="452" t="s">
        <v>140</v>
      </c>
      <c r="B4" s="445">
        <f>IF(
  AND(ISNUMBER(B1), ISNUMBER(B2), ISNUMBER(B3), ISNUMBER(D1), ISNUMBER(D2), ISNUMBER(D3)),
  (B1*1 + B2*1.5 + B3*2 + D1*1 + D2*1.2 + D3*1.2) / 7.9,
  "CHECK VALUES"
)</f>
        <v>1.1872224050632911</v>
      </c>
      <c r="C4" s="446"/>
      <c r="D4" s="455"/>
      <c r="E4" s="442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3"/>
      <c r="U4" s="443"/>
      <c r="V4" s="443"/>
      <c r="W4" s="443"/>
      <c r="X4" s="443"/>
      <c r="Y4" s="443"/>
      <c r="Z4" s="443"/>
      <c r="AA4" s="443"/>
      <c r="AB4" s="439"/>
      <c r="AC4" s="439"/>
      <c r="AD4" s="439"/>
      <c r="AE4" s="439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</row>
    <row r="5" spans="1:69" ht="38.25" customHeight="1" x14ac:dyDescent="0.2">
      <c r="A5" s="443"/>
      <c r="B5" s="443"/>
      <c r="C5" s="443"/>
      <c r="D5" s="443"/>
      <c r="E5" s="442"/>
      <c r="F5" s="443"/>
      <c r="G5" s="443"/>
      <c r="H5" s="443"/>
      <c r="I5" s="443"/>
      <c r="J5" s="443"/>
      <c r="K5" s="443"/>
      <c r="L5" s="443"/>
      <c r="M5" s="443"/>
      <c r="N5" s="443"/>
      <c r="O5" s="443"/>
      <c r="P5" s="443"/>
      <c r="Q5" s="443"/>
      <c r="R5" s="443"/>
      <c r="S5" s="443"/>
      <c r="T5" s="443"/>
      <c r="U5" s="443"/>
      <c r="V5" s="443"/>
      <c r="W5" s="443"/>
      <c r="X5" s="443"/>
      <c r="Y5" s="443"/>
      <c r="Z5" s="443"/>
      <c r="AA5" s="443"/>
      <c r="AB5" s="439"/>
      <c r="AC5" s="439"/>
      <c r="AD5" s="439"/>
      <c r="AE5" s="439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</row>
    <row r="6" spans="1:69" ht="40.5" customHeight="1" x14ac:dyDescent="0.4">
      <c r="A6" s="440"/>
      <c r="B6" s="441"/>
      <c r="C6" s="442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442"/>
      <c r="O6" s="442"/>
      <c r="P6" s="442"/>
      <c r="Q6" s="442"/>
      <c r="R6" s="442"/>
      <c r="S6" s="442"/>
      <c r="T6" s="442"/>
      <c r="U6" s="442"/>
      <c r="V6" s="442"/>
      <c r="W6" s="442"/>
      <c r="X6" s="442"/>
      <c r="Y6" s="442"/>
      <c r="Z6" s="442"/>
      <c r="AA6" s="442"/>
      <c r="AB6" s="439"/>
      <c r="AC6" s="439"/>
      <c r="AD6" s="439"/>
      <c r="AE6" s="439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</row>
    <row r="7" spans="1:69" ht="45.75" customHeight="1" x14ac:dyDescent="0.4">
      <c r="A7" s="447" t="s">
        <v>151</v>
      </c>
      <c r="B7" s="448" t="s">
        <v>152</v>
      </c>
      <c r="C7" s="447" t="s">
        <v>153</v>
      </c>
      <c r="D7" s="449" t="s">
        <v>154</v>
      </c>
      <c r="E7" s="442"/>
      <c r="F7" s="442"/>
      <c r="G7" s="442"/>
      <c r="H7" s="442"/>
      <c r="I7" s="442"/>
      <c r="J7" s="442"/>
      <c r="K7" s="442"/>
      <c r="L7" s="442"/>
      <c r="M7" s="442"/>
      <c r="N7" s="442"/>
      <c r="O7" s="442"/>
      <c r="P7" s="442"/>
      <c r="Q7" s="442"/>
      <c r="R7" s="442"/>
      <c r="S7" s="442"/>
      <c r="T7" s="442"/>
      <c r="U7" s="442"/>
      <c r="V7" s="442"/>
      <c r="W7" s="442"/>
      <c r="X7" s="442"/>
      <c r="Y7" s="442"/>
      <c r="Z7" s="442"/>
      <c r="AA7" s="442"/>
      <c r="AB7" s="439"/>
      <c r="AC7" s="439"/>
      <c r="AD7" s="439"/>
      <c r="AE7" s="439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</row>
    <row r="8" spans="1:69" ht="57" customHeight="1" x14ac:dyDescent="0.55000000000000004">
      <c r="A8" s="450" t="str">
        <f>IF(
 OR(
  AND(D3&gt;D2,D2&gt;D1,(D3-D2)&lt;(D2-D1)*0.8,D3&gt;=MAX(B1,B2,B3,D1,D2,D3)-(MAX(B1,B2,B3,D1,D2,D3)-MIN(B1,B2,B3,D1,D2,D3)+0.00001)*0.1),
  AND(D3&lt;D2,D2&lt;D1,(D2-D3)&lt;(D1-D2)*0.8,D3&lt;=MIN(B1,B2,B3,D1,D2,D3)+(MAX(B1,B2,B3,D1,D2,D3)-MIN(B1,B2,B3,D1,D2,D3)+0.00001)*0.1)
 ),
 IF(D3&gt;D2,"SELL","BUY"),
 IF(
  (
   IF(D3&gt;D2,1,0)+IF(D2&gt;D1,1,0)+IF((D3-D2)&gt;(D2-D1),1,0)+
   IF((0.5*D3+0.3*D2+0.2*D1)&gt;AVERAGE(B1,B2,B3),1,0)+
   IF(D3&gt;B4,1,0)+IF(D3&gt;AVERAGE(B1,B2,B3,D1,D2,D3),1,0)+
   IF(100-(100/(1+(AVERAGE(MAX(D3-D2,0),MAX(D2-D1,0),MAX(D1-B3,0))/(AVERAGE(MAX(D2-D3,0),MAX(D1-D2,0),MAX(B3-D1,0))+0.00001))))&lt;35,1,0)+
   IF((D3-MIN(B1,B2,B3,D1,D2,D3))/(MAX(B1,B2,B3,D1,D2,D3)-MIN(B1,B2,B3,D1,D2,D3)+0.00001)&lt;0.8,1,0)+
   IF((AVERAGE(D2,D3)-AVERAGE(B2,B3))&gt;(AVERAGE(D1,D2)-AVERAGE(B1,B2)),1,0)
  )
  &gt;
  (
   IF(D3&lt;D2,1,0)+IF(D2&lt;D1,1,0)+IF((D2-D3)&gt;(D1-D2),1,0)+
   IF((0.5*D3+0.3*D2+0.2*D1)&lt;AVERAGE(B1,B2,B3),1,0)+
   IF(D3&lt;B4,1,0)+IF(D3&lt;AVERAGE(B1,B2,B3,D1,D2,D3),1,0)+
   IF(100-(100/(1+(AVERAGE(MAX(D3-D2,0),MAX(D2-D1,0),MAX(D1-B3,0))/(AVERAGE(MAX(D2-D3,0),MAX(D1-D2,0),MAX(B3-D1,0))+0.00001))))&gt;65,1,0)+
   IF((MAX(B1,B2,B3,D1,D2,D3)-D3)/(MAX(B1,B2,B3,D1,D2,D3)-MIN(B1,B2,B3,D1,D2,D3)+0.00001)&lt;0.8,1,0)+
   IF((AVERAGE(D2,D3)-AVERAGE(B2,B3))&lt;(AVERAGE(D1,D2)-AVERAGE(B1,B2)),1,0)
  ),
 "BUY","SELL")
)</f>
        <v>BUY</v>
      </c>
      <c r="B8" s="450" t="str">
        <f>IF(
 OR(
  AND(D3&gt;D2,D2&gt;D1,(D3-D2)&lt;(D2-D1)*0.7,D3&gt;=MAX(B1,B2,B3,D1,D2,D3)-(MAX(B1,B2,B3,D1,D2,D3)-MIN(B1,B2,B3,D1,D2,D3)+0.00001)*0.12),
  AND(D3&lt;D2,D2&lt;D1,(D2-D3)&lt;(D1-D2)*0.7,D3&lt;=MIN(B1,B2,B3,D1,D2,D3)+(MAX(B1,B2,B3,D1,D2,D3)-MIN(B1,B2,B3,D1,D2,D3)+0.00001)*0.12)
 ),
 IF(D3&gt;D2,"SELL","BUY"),
 IF(
  (
   IF(D3&gt;D2,1,0)+IF(D2&gt;D1,1,0)+IF(AND(D3&gt;D2,D2&gt;D1,(D3-D2)&gt;(D2-D1)),2,0)+
   IF((0.5*D3+0.3*D2+0.2*D1)&gt;AVERAGE(B1,B2,B3),1,0)+
   IF(D3&gt;B4,1,0)+IF(D3&gt;AVERAGE(B1,B2,B3,D1,D2,D3),1,0)+
   IF(100-(100/(1+(AVERAGE(MAX(D3-D2,0),MAX(D2-D1,0),MAX(D1-B3,0))/(AVERAGE(MAX(D2-D3,0),MAX(D1-D2,0),MAX(B3-D1,0))+0.00001))))&lt;40,1,0)+
   IF((D3-MIN(B1,B2,B3,D1,D2,D3))/(MAX(B1,B2,B3,D1,D2,D3)-MIN(B1,B2,B3,D1,D2,D3)+0.00001)&lt;0.75,1,0)+
   IF((AVERAGE(D2,D3)-AVERAGE(B2,B3))&gt;(AVERAGE(D1,D2)-AVERAGE(B1,B2)),1,0)
  )
  &gt;
  (
   IF(D3&lt;D2,1,0)+IF(D2&lt;D1,1,0)+IF(AND(D3&lt;D2,D2&lt;D1,(D2-D3)&gt;(D1-D2)),2,0)+
   IF((0.5*D3+0.3*D2+0.2*D1)&lt;AVERAGE(B1,B2,B3),1,0)+
   IF(D3&lt;B4,1,0)+IF(D3&lt;AVERAGE(B1,B2,B3,D1,D2,D3),1,0)+
   IF(100-(100/(1+(AVERAGE(MAX(D3-D2,0),MAX(D2-D1,0),MAX(D1-B3,0))/(AVERAGE(MAX(D2-D3,0),MAX(D1-D2,0),MAX(B3-D1,0))+0.00001))))&gt;60,1,0)+
   IF((MAX(B1,B2,B3,D1,D2,D3)-D3)/(MAX(B1,B2,B3,D1,D2,D3)-MIN(B1,B2,B3,D1,D2,D3)+0.00001)&lt;0.75,1,0)+
   IF((AVERAGE(D2,D3)-AVERAGE(B2,B3))&lt;(AVERAGE(D1,D2)-AVERAGE(B1,B2)),1,0)
  ),
 "BUY","SELL")
)</f>
        <v>SELL</v>
      </c>
      <c r="C8" s="450" t="str">
        <f>IF(
 OR(
  AND(D3&gt;D2,D2&gt;D1,(D3-D2)&lt;(D2-D1)*0.7,D3&gt;=MAX(B1,B2,B3,D1,D2,D3)-(MAX(B1,B2,B3,D1,D2,D3)-MIN(B1,B2,B3,D1,D2,D3)+0.00001)*0.12),
  AND(D3&lt;D2,D2&lt;D1,(D2-D3)&lt;(D1-D2)*0.7,D3&lt;=MIN(B1,B2,B3,D1,D2,D3)+(MAX(B1,B2,B3,D1,D2,D3)-MIN(B1,B2,B3,D1,D2,D3)+0.00001)*0.12)
 ),
 IF(D3&gt;D2,"SELL","BUY"),
 IF(
  (
   IF(D3&gt;D2,1,0)+IF(D2&gt;D1,1,0)+IF(AND(D3&gt;D2,D2&gt;D1,(D3-D2)&gt;(D2-D1)),2,0)+
   IF((0.5*D3+0.3*D2+0.2*D1)&gt;AVERAGE(B1,B2,B3),1,0)+
   IF(D3&gt;B4,1,0)+IF(D3&gt;AVERAGE(B1,B2,B3,D1,D2,D3),1,0)+
   IF(100-(100/(1+(AVERAGE(MAX(D3-D2,0),MAX(D2-D1,0),MAX(D1-B3,0))/(AVERAGE(MAX(D2-D3,0),MAX(D1-D2,0),MAX(B3-D1,0))+0.00001))))&lt;40,1,0)+
   IF((D3-MIN(B1,B2,B3,D1,D2,D3))/(MAX(B1,B2,B3,D1,D2,D3)-MIN(B1,B2,B3,D1,D2,D3)+0.00001)&lt;0.75,1,0)+
   IF((AVERAGE(D2,D3)-AVERAGE(B2,B3))&gt;(AVERAGE(D1,D2)-AVERAGE(B1,B2)),1,0)
  )
  &gt;
  (
   IF(D3&lt;D2,1,0)+IF(D2&lt;D1,1,0)+IF(AND(D3&lt;D2,D2&lt;D1,(D2-D3)&gt;(D1-D2)),2,0)+
   IF((0.5*D3+0.3*D2+0.2*D1)&lt;AVERAGE(B1,B2,B3),1,0)+
   IF(D3&lt;B4,1,0)+IF(D3&lt;AVERAGE(B1,B2,B3,D1,D2,D3),1,0)+
   IF(100-(100/(1+(AVERAGE(MAX(D3-D2,0),MAX(D2-D1,0),MAX(D1-B3,0))/(AVERAGE(MAX(D2-D3,0),MAX(D1-D2,0),MAX(B3-D1,0))+0.00001))))&gt;60,1,0)+
   IF((MAX(B1,B2,B3,D1,D2,D3)-D3)/(MAX(B1,B2,B3,D1,D2,D3)-MIN(B1,B2,B3,D1,D2,D3)+0.00001)&lt;0.75,1,0)+
   IF((AVERAGE(D2,D3)-AVERAGE(B2,B3))&lt;(AVERAGE(D1,D2)-AVERAGE(B1,B2)),1,0)
  ),
 "BUY","SELL")
)</f>
        <v>SELL</v>
      </c>
      <c r="D8" s="450" t="str">
        <f>IF(
 OR(
  AND(SIGN(D3-D2)&lt;&gt;SIGN(D2-D1),ABS((D3-D2)-(D2-D1))&gt;(MAX(B1,B2,B3,D1,D2,D3)-MIN(B1,B2,B3,D1,D2,D3)+0.00001)*0.06),
  AND(D3&gt;MAX(B1,B2,B3,D1,D2),ABS(D3-D2)&lt;ABS(D2-D1)*0.7),
  AND(D3&lt;MIN(B1,B2,B3,D1,D2),ABS(D3-D2)&lt;ABS(D2-D1)*0.7)
 ),
 IF(D3&gt;D2,"SELL","BUY"),
 IF(
  (
   IF(D3&gt;D2,1,0)+IF(D2&gt;D1,1,0)+
   IF((D3-D2)&gt;(D2-D1),1,0)+
   IF(D3&gt;B4,1,0)+
   IF((0.6*D3+0.3*D2+0.1*D1)&gt;AVERAGE(B1,B2,B3),1,0)+
   IF((D3-MIN(B1,B2,B3,D1,D2,D3))/(MAX(B1,B2,B3,D1,D2,D3)-MIN(B1,B2,B3,D1,D2,D3)+0.00001)&gt;0.55,1,0)+
   IF(100-(100/(1+(AVERAGE(MAX(D3-D2,0),MAX(D2-D1,0),MAX(D1-B3,0))/(AVERAGE(MAX(D2-D3,0),MAX(D1-D2,0),MAX(B3-D1,0))+0.00001))))&lt;40,1,0)+
   IF(ABS(D3-B4)&lt;(MAX(B1,B2,B3)-MIN(B1,B2,B3)+0.00001)*0.4,1,0)
  )
  &gt;
  (
   IF(D3&lt;D2,1,0)+IF(D2&lt;D1,1,0)+
   IF((D2-D3)&gt;(D1-D2),1,0)+
   IF(D3&lt;B4,1,0)+
   IF((0.6*D3+0.3*D2+0.1*D1)&lt;AVERAGE(B1,B2,B3),1,0)+
   IF((MAX(B1,B2,B3,D1,D2,D3)-D3)/(MAX(B1,B2,B3,D1,D2,D3)-MIN(B1,B2,B3,D1,D2,D3)+0.00001)&gt;0.55,1,0)+
   IF(100-(100/(1+(AVERAGE(MAX(D3-D2,0),MAX(D2-D1,0),MAX(D1-B3,0))/(AVERAGE(MAX(D2-D3,0),MAX(D1-D2,0),MAX(B3-D1,0))+0.00001))))&gt;60,1,0)+
   IF(ABS(D3-B4)&lt;(MAX(B1,B2,B3)-MIN(B1,B2,B3)+0.00001)*0.4,1,0)
  ),
 "BUY","SELL")
)</f>
        <v>SELL</v>
      </c>
      <c r="E8" s="442"/>
      <c r="F8" s="442"/>
      <c r="G8" s="442"/>
      <c r="H8" s="442"/>
      <c r="I8" s="442"/>
      <c r="J8" s="442"/>
      <c r="K8" s="442"/>
      <c r="L8" s="442"/>
      <c r="M8" s="442"/>
      <c r="N8" s="442"/>
      <c r="O8" s="442"/>
      <c r="P8" s="442"/>
      <c r="Q8" s="442"/>
      <c r="R8" s="442"/>
      <c r="S8" s="442"/>
      <c r="T8" s="442"/>
      <c r="U8" s="442"/>
      <c r="V8" s="442"/>
      <c r="W8" s="442"/>
      <c r="X8" s="442"/>
      <c r="Y8" s="442"/>
      <c r="Z8" s="442"/>
      <c r="AA8" s="442"/>
      <c r="AB8" s="439"/>
      <c r="AC8" s="439"/>
      <c r="AD8" s="439"/>
      <c r="AE8" s="439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</row>
    <row r="9" spans="1:69" ht="47.25" customHeight="1" x14ac:dyDescent="0.2">
      <c r="A9" s="443"/>
      <c r="B9" s="443"/>
      <c r="C9" s="443"/>
      <c r="D9" s="443"/>
      <c r="E9" s="443"/>
      <c r="F9" s="443"/>
      <c r="G9" s="443"/>
      <c r="H9" s="443"/>
      <c r="I9" s="443"/>
      <c r="J9" s="443"/>
      <c r="K9" s="443"/>
      <c r="L9" s="443"/>
      <c r="M9" s="443"/>
      <c r="N9" s="443"/>
      <c r="O9" s="443"/>
      <c r="P9" s="443"/>
      <c r="Q9" s="443"/>
      <c r="R9" s="443"/>
      <c r="S9" s="443"/>
      <c r="T9" s="443"/>
      <c r="U9" s="443"/>
      <c r="V9" s="443"/>
      <c r="W9" s="443"/>
      <c r="X9" s="443"/>
      <c r="Y9" s="443"/>
      <c r="Z9" s="443"/>
      <c r="AA9" s="443"/>
      <c r="AB9" s="439"/>
      <c r="AC9" s="439"/>
      <c r="AD9" s="439"/>
      <c r="AE9" s="439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</row>
    <row r="10" spans="1:69" ht="47.25" customHeight="1" x14ac:dyDescent="0.2">
      <c r="A10" s="443"/>
      <c r="B10" s="443"/>
      <c r="C10" s="443"/>
      <c r="D10" s="443"/>
      <c r="E10" s="443"/>
      <c r="F10" s="443"/>
      <c r="G10" s="443"/>
      <c r="H10" s="443"/>
      <c r="I10" s="443"/>
      <c r="J10" s="443"/>
      <c r="K10" s="443"/>
      <c r="L10" s="443"/>
      <c r="M10" s="443"/>
      <c r="N10" s="443"/>
      <c r="O10" s="443"/>
      <c r="P10" s="443"/>
      <c r="Q10" s="443"/>
      <c r="R10" s="443"/>
      <c r="S10" s="443"/>
      <c r="T10" s="443"/>
      <c r="U10" s="443"/>
      <c r="V10" s="443"/>
      <c r="W10" s="443"/>
      <c r="X10" s="443"/>
      <c r="Y10" s="443"/>
      <c r="Z10" s="443"/>
      <c r="AA10" s="443"/>
      <c r="AB10" s="439"/>
      <c r="AC10" s="439"/>
      <c r="AD10" s="439"/>
      <c r="AE10" s="439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</row>
    <row r="11" spans="1:69" ht="47.25" customHeight="1" x14ac:dyDescent="0.2">
      <c r="A11" s="443"/>
      <c r="B11" s="443"/>
      <c r="C11" s="443"/>
      <c r="D11" s="443"/>
      <c r="E11" s="443"/>
      <c r="F11" s="443"/>
      <c r="G11" s="443"/>
      <c r="H11" s="443"/>
      <c r="I11" s="443"/>
      <c r="J11" s="443"/>
      <c r="K11" s="443"/>
      <c r="L11" s="443"/>
      <c r="M11" s="443"/>
      <c r="N11" s="443"/>
      <c r="O11" s="443"/>
      <c r="P11" s="443"/>
      <c r="Q11" s="443"/>
      <c r="R11" s="443"/>
      <c r="S11" s="443"/>
      <c r="T11" s="443"/>
      <c r="U11" s="443"/>
      <c r="V11" s="443"/>
      <c r="W11" s="443"/>
      <c r="X11" s="443"/>
      <c r="Y11" s="443"/>
      <c r="Z11" s="443"/>
      <c r="AA11" s="443"/>
      <c r="AB11" s="439"/>
      <c r="AC11" s="439"/>
      <c r="AD11" s="439"/>
      <c r="AE11" s="439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</row>
    <row r="12" spans="1:69" ht="46.5" customHeight="1" x14ac:dyDescent="0.2">
      <c r="A12" s="443"/>
      <c r="B12" s="443"/>
      <c r="C12" s="443"/>
      <c r="D12" s="443"/>
      <c r="E12" s="443"/>
      <c r="F12" s="443"/>
      <c r="G12" s="443"/>
      <c r="H12" s="443"/>
      <c r="I12" s="443"/>
      <c r="J12" s="443"/>
      <c r="K12" s="443"/>
      <c r="L12" s="443"/>
      <c r="M12" s="443"/>
      <c r="N12" s="443"/>
      <c r="O12" s="443"/>
      <c r="P12" s="443"/>
      <c r="Q12" s="443"/>
      <c r="R12" s="443"/>
      <c r="S12" s="443"/>
      <c r="T12" s="443"/>
      <c r="U12" s="443"/>
      <c r="V12" s="443"/>
      <c r="W12" s="443"/>
      <c r="X12" s="443"/>
      <c r="Y12" s="443"/>
      <c r="Z12" s="443"/>
      <c r="AA12" s="443"/>
      <c r="AB12" s="439"/>
      <c r="AC12" s="439"/>
      <c r="AD12" s="439"/>
      <c r="AE12" s="439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</row>
    <row r="13" spans="1:69" ht="48" customHeight="1" x14ac:dyDescent="0.2">
      <c r="A13" s="443"/>
      <c r="B13" s="443"/>
      <c r="C13" s="443"/>
      <c r="D13" s="443"/>
      <c r="E13" s="443"/>
      <c r="F13" s="443"/>
      <c r="G13" s="443"/>
      <c r="H13" s="443"/>
      <c r="I13" s="443"/>
      <c r="J13" s="443"/>
      <c r="K13" s="443"/>
      <c r="L13" s="443"/>
      <c r="M13" s="443"/>
      <c r="N13" s="443"/>
      <c r="O13" s="443"/>
      <c r="P13" s="443"/>
      <c r="Q13" s="443"/>
      <c r="R13" s="443"/>
      <c r="S13" s="443"/>
      <c r="T13" s="443"/>
      <c r="U13" s="443"/>
      <c r="V13" s="443"/>
      <c r="W13" s="443"/>
      <c r="X13" s="443"/>
      <c r="Y13" s="443"/>
      <c r="Z13" s="443"/>
      <c r="AA13" s="443"/>
      <c r="AB13" s="439"/>
      <c r="AC13" s="439"/>
      <c r="AD13" s="439"/>
      <c r="AE13" s="439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</row>
    <row r="14" spans="1:69" ht="45" customHeight="1" x14ac:dyDescent="0.2">
      <c r="A14" s="443"/>
      <c r="B14" s="443"/>
      <c r="C14" s="443"/>
      <c r="D14" s="443"/>
      <c r="E14" s="443"/>
      <c r="F14" s="443"/>
      <c r="G14" s="443"/>
      <c r="H14" s="443"/>
      <c r="I14" s="443"/>
      <c r="J14" s="443"/>
      <c r="K14" s="443"/>
      <c r="L14" s="443"/>
      <c r="M14" s="443"/>
      <c r="N14" s="443"/>
      <c r="O14" s="443"/>
      <c r="P14" s="443"/>
      <c r="Q14" s="443"/>
      <c r="R14" s="443"/>
      <c r="S14" s="443"/>
      <c r="T14" s="443"/>
      <c r="U14" s="443"/>
      <c r="V14" s="443"/>
      <c r="W14" s="443"/>
      <c r="X14" s="443"/>
      <c r="Y14" s="443"/>
      <c r="Z14" s="443"/>
      <c r="AA14" s="443"/>
      <c r="AB14" s="439"/>
      <c r="AC14" s="439"/>
      <c r="AD14" s="439"/>
      <c r="AE14" s="439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</row>
    <row r="15" spans="1:69" ht="32.25" customHeight="1" x14ac:dyDescent="0.2">
      <c r="A15" s="443"/>
      <c r="B15" s="443"/>
      <c r="C15" s="443"/>
      <c r="D15" s="443"/>
      <c r="E15" s="443"/>
      <c r="F15" s="443"/>
      <c r="G15" s="443"/>
      <c r="H15" s="443"/>
      <c r="I15" s="443"/>
      <c r="J15" s="443"/>
      <c r="K15" s="443"/>
      <c r="L15" s="443"/>
      <c r="M15" s="443"/>
      <c r="N15" s="443"/>
      <c r="O15" s="443"/>
      <c r="P15" s="443"/>
      <c r="Q15" s="443"/>
      <c r="R15" s="443"/>
      <c r="S15" s="443"/>
      <c r="T15" s="443"/>
      <c r="U15" s="443"/>
      <c r="V15" s="443"/>
      <c r="W15" s="443"/>
      <c r="X15" s="443"/>
      <c r="Y15" s="443"/>
      <c r="Z15" s="443"/>
      <c r="AA15" s="443"/>
      <c r="AB15" s="439"/>
      <c r="AC15" s="439"/>
      <c r="AD15" s="439"/>
      <c r="AE15" s="439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</row>
    <row r="16" spans="1:69" ht="32.25" customHeight="1" x14ac:dyDescent="0.2">
      <c r="A16" s="443"/>
      <c r="B16" s="443"/>
      <c r="C16" s="443"/>
      <c r="D16" s="443"/>
      <c r="E16" s="443"/>
      <c r="F16" s="443"/>
      <c r="G16" s="443"/>
      <c r="H16" s="443"/>
      <c r="I16" s="443"/>
      <c r="J16" s="443"/>
      <c r="K16" s="443"/>
      <c r="L16" s="443"/>
      <c r="M16" s="443"/>
      <c r="N16" s="443"/>
      <c r="O16" s="443"/>
      <c r="P16" s="443"/>
      <c r="Q16" s="443"/>
      <c r="R16" s="443"/>
      <c r="S16" s="443"/>
      <c r="T16" s="443"/>
      <c r="U16" s="443"/>
      <c r="V16" s="443"/>
      <c r="W16" s="443"/>
      <c r="X16" s="443"/>
      <c r="Y16" s="443"/>
      <c r="Z16" s="443"/>
      <c r="AA16" s="443"/>
      <c r="AB16" s="439"/>
      <c r="AC16" s="439"/>
      <c r="AD16" s="439"/>
      <c r="AE16" s="439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</row>
    <row r="17" spans="1:69" ht="29.25" customHeight="1" x14ac:dyDescent="0.2">
      <c r="A17" s="443"/>
      <c r="B17" s="443"/>
      <c r="C17" s="443"/>
      <c r="D17" s="443"/>
      <c r="E17" s="443"/>
      <c r="F17" s="443"/>
      <c r="G17" s="443"/>
      <c r="H17" s="443"/>
      <c r="I17" s="443"/>
      <c r="J17" s="443"/>
      <c r="K17" s="443"/>
      <c r="L17" s="443"/>
      <c r="M17" s="443"/>
      <c r="N17" s="443"/>
      <c r="O17" s="443"/>
      <c r="P17" s="443"/>
      <c r="Q17" s="443"/>
      <c r="R17" s="443"/>
      <c r="S17" s="443"/>
      <c r="T17" s="443"/>
      <c r="U17" s="443"/>
      <c r="V17" s="443"/>
      <c r="W17" s="443"/>
      <c r="X17" s="443"/>
      <c r="Y17" s="443"/>
      <c r="Z17" s="443"/>
      <c r="AA17" s="443"/>
      <c r="AB17" s="439"/>
      <c r="AC17" s="439"/>
      <c r="AD17" s="439"/>
      <c r="AE17" s="439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</row>
    <row r="18" spans="1:69" ht="28.5" customHeight="1" x14ac:dyDescent="0.2">
      <c r="A18" s="443"/>
      <c r="B18" s="443"/>
      <c r="C18" s="443"/>
      <c r="D18" s="443"/>
      <c r="E18" s="443"/>
      <c r="F18" s="443"/>
      <c r="G18" s="443"/>
      <c r="H18" s="443"/>
      <c r="I18" s="443"/>
      <c r="J18" s="443"/>
      <c r="K18" s="443"/>
      <c r="L18" s="443"/>
      <c r="M18" s="443"/>
      <c r="N18" s="443"/>
      <c r="O18" s="443"/>
      <c r="P18" s="443"/>
      <c r="Q18" s="443"/>
      <c r="R18" s="443"/>
      <c r="S18" s="443"/>
      <c r="T18" s="443"/>
      <c r="U18" s="443"/>
      <c r="V18" s="443"/>
      <c r="W18" s="443"/>
      <c r="X18" s="443"/>
      <c r="Y18" s="443"/>
      <c r="Z18" s="443"/>
      <c r="AA18" s="443"/>
      <c r="AB18" s="443"/>
      <c r="AC18" s="443"/>
      <c r="AD18" s="443"/>
      <c r="AE18" s="443"/>
      <c r="AF18" s="443"/>
      <c r="AG18" s="443"/>
      <c r="AH18" s="443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</row>
    <row r="19" spans="1:69" ht="36" customHeight="1" x14ac:dyDescent="0.2">
      <c r="A19" s="443"/>
      <c r="B19" s="443"/>
      <c r="C19" s="443"/>
      <c r="D19" s="443"/>
      <c r="E19" s="443"/>
      <c r="F19" s="443"/>
      <c r="G19" s="443"/>
      <c r="H19" s="443"/>
      <c r="I19" s="443"/>
      <c r="J19" s="443"/>
      <c r="K19" s="443"/>
      <c r="L19" s="443"/>
      <c r="M19" s="443"/>
      <c r="N19" s="443"/>
      <c r="O19" s="443"/>
      <c r="P19" s="443"/>
      <c r="Q19" s="443"/>
      <c r="R19" s="443"/>
      <c r="S19" s="443"/>
      <c r="T19" s="443"/>
      <c r="U19" s="443"/>
      <c r="V19" s="443"/>
      <c r="W19" s="443"/>
      <c r="X19" s="443"/>
      <c r="Y19" s="443"/>
      <c r="Z19" s="443"/>
      <c r="AA19" s="443"/>
      <c r="AB19" s="443"/>
      <c r="AC19" s="443"/>
      <c r="AD19" s="443"/>
      <c r="AE19" s="443"/>
      <c r="AF19" s="443"/>
      <c r="AG19" s="443"/>
      <c r="AH19" s="443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</row>
    <row r="20" spans="1:69" ht="42" customHeight="1" x14ac:dyDescent="0.2">
      <c r="A20" s="443"/>
      <c r="B20" s="443"/>
      <c r="C20" s="443"/>
      <c r="D20" s="443"/>
      <c r="E20" s="443"/>
      <c r="F20" s="443"/>
      <c r="G20" s="443"/>
      <c r="H20" s="443"/>
      <c r="I20" s="443"/>
      <c r="J20" s="443"/>
      <c r="K20" s="443"/>
      <c r="L20" s="443"/>
      <c r="M20" s="443"/>
      <c r="N20" s="443"/>
      <c r="O20" s="443"/>
      <c r="P20" s="443"/>
      <c r="Q20" s="443"/>
      <c r="R20" s="443"/>
      <c r="S20" s="443"/>
      <c r="T20" s="443"/>
      <c r="U20" s="443"/>
      <c r="V20" s="443"/>
      <c r="W20" s="443"/>
      <c r="X20" s="443"/>
      <c r="Y20" s="443"/>
      <c r="Z20" s="443"/>
      <c r="AA20" s="443"/>
      <c r="AB20" s="443"/>
      <c r="AC20" s="443"/>
      <c r="AD20" s="443"/>
      <c r="AE20" s="443"/>
      <c r="AF20" s="443"/>
      <c r="AG20" s="443"/>
      <c r="AH20" s="443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</row>
    <row r="21" spans="1:69" ht="35.25" customHeight="1" x14ac:dyDescent="0.2">
      <c r="A21" s="443"/>
      <c r="B21" s="443"/>
      <c r="C21" s="443"/>
      <c r="D21" s="443"/>
      <c r="E21" s="443"/>
      <c r="F21" s="443"/>
      <c r="G21" s="443"/>
      <c r="H21" s="443"/>
      <c r="I21" s="443"/>
      <c r="J21" s="443"/>
      <c r="K21" s="443"/>
      <c r="L21" s="443"/>
      <c r="M21" s="443"/>
      <c r="N21" s="443"/>
      <c r="O21" s="443"/>
      <c r="P21" s="443"/>
      <c r="Q21" s="443"/>
      <c r="R21" s="443"/>
      <c r="S21" s="443"/>
      <c r="T21" s="443"/>
      <c r="U21" s="443"/>
      <c r="V21" s="443"/>
      <c r="W21" s="443"/>
      <c r="X21" s="443"/>
      <c r="Y21" s="443"/>
      <c r="Z21" s="443"/>
      <c r="AA21" s="443"/>
      <c r="AB21" s="443"/>
      <c r="AC21" s="443"/>
      <c r="AD21" s="443"/>
      <c r="AE21" s="443"/>
      <c r="AF21" s="443"/>
      <c r="AG21" s="443"/>
      <c r="AH21" s="443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</row>
    <row r="22" spans="1:69" x14ac:dyDescent="0.2">
      <c r="A22" s="443"/>
      <c r="B22" s="443"/>
      <c r="C22" s="443"/>
      <c r="D22" s="443"/>
      <c r="E22" s="443"/>
      <c r="F22" s="443"/>
      <c r="G22" s="443"/>
      <c r="H22" s="443"/>
      <c r="I22" s="443"/>
      <c r="J22" s="443"/>
      <c r="K22" s="443"/>
      <c r="L22" s="443"/>
      <c r="M22" s="443"/>
      <c r="N22" s="443"/>
      <c r="O22" s="443"/>
      <c r="P22" s="443"/>
      <c r="Q22" s="443"/>
      <c r="R22" s="443"/>
      <c r="S22" s="443"/>
      <c r="T22" s="443"/>
      <c r="U22" s="443"/>
      <c r="V22" s="443"/>
      <c r="W22" s="443"/>
      <c r="X22" s="443"/>
      <c r="Y22" s="443"/>
      <c r="Z22" s="443"/>
      <c r="AA22" s="443"/>
      <c r="AB22" s="443"/>
      <c r="AC22" s="443"/>
      <c r="AD22" s="443"/>
      <c r="AE22" s="443"/>
      <c r="AF22" s="443"/>
      <c r="AG22" s="443"/>
      <c r="AH22" s="443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</row>
    <row r="23" spans="1:69" x14ac:dyDescent="0.2">
      <c r="A23" s="443"/>
      <c r="B23" s="443"/>
      <c r="C23" s="443"/>
      <c r="D23" s="443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3"/>
      <c r="W23" s="443"/>
      <c r="X23" s="443"/>
      <c r="Y23" s="443"/>
      <c r="Z23" s="443"/>
      <c r="AA23" s="443"/>
      <c r="AB23" s="443"/>
      <c r="AC23" s="443"/>
      <c r="AD23" s="443"/>
      <c r="AE23" s="443"/>
      <c r="AF23" s="443"/>
      <c r="AG23" s="443"/>
      <c r="AH23" s="443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</row>
    <row r="24" spans="1:69" x14ac:dyDescent="0.2">
      <c r="A24" s="443"/>
      <c r="B24" s="443"/>
      <c r="C24" s="443"/>
      <c r="D24" s="443"/>
      <c r="E24" s="443"/>
      <c r="F24" s="443"/>
      <c r="G24" s="443"/>
      <c r="H24" s="443"/>
      <c r="I24" s="443"/>
      <c r="J24" s="443"/>
      <c r="K24" s="443"/>
      <c r="L24" s="443"/>
      <c r="M24" s="443"/>
      <c r="N24" s="443"/>
      <c r="O24" s="443"/>
      <c r="P24" s="443"/>
      <c r="Q24" s="443"/>
      <c r="R24" s="443"/>
      <c r="S24" s="443"/>
      <c r="T24" s="443"/>
      <c r="U24" s="443"/>
      <c r="V24" s="443"/>
      <c r="W24" s="443"/>
      <c r="X24" s="443"/>
      <c r="Y24" s="443"/>
      <c r="Z24" s="443"/>
      <c r="AA24" s="443"/>
      <c r="AB24" s="443"/>
      <c r="AC24" s="443"/>
      <c r="AD24" s="443"/>
      <c r="AE24" s="443"/>
      <c r="AF24" s="443"/>
      <c r="AG24" s="443"/>
      <c r="AH24" s="443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</row>
    <row r="25" spans="1:69" x14ac:dyDescent="0.2">
      <c r="A25" s="443"/>
      <c r="B25" s="443"/>
      <c r="C25" s="443"/>
      <c r="D25" s="443"/>
      <c r="E25" s="443"/>
      <c r="F25" s="443"/>
      <c r="G25" s="443"/>
      <c r="H25" s="443"/>
      <c r="I25" s="443"/>
      <c r="J25" s="443"/>
      <c r="K25" s="443"/>
      <c r="L25" s="443"/>
      <c r="M25" s="443"/>
      <c r="N25" s="443"/>
      <c r="O25" s="443"/>
      <c r="P25" s="443"/>
      <c r="Q25" s="443"/>
      <c r="R25" s="443"/>
      <c r="S25" s="443"/>
      <c r="T25" s="443"/>
      <c r="U25" s="443"/>
      <c r="V25" s="443"/>
      <c r="W25" s="443"/>
      <c r="X25" s="443"/>
      <c r="Y25" s="443"/>
      <c r="Z25" s="443"/>
      <c r="AA25" s="443"/>
      <c r="AB25" s="443"/>
      <c r="AC25" s="443"/>
      <c r="AD25" s="443"/>
      <c r="AE25" s="443"/>
      <c r="AF25" s="443"/>
      <c r="AG25" s="443"/>
      <c r="AH25" s="443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</row>
    <row r="26" spans="1:69" x14ac:dyDescent="0.2">
      <c r="A26" s="443"/>
      <c r="B26" s="443"/>
      <c r="C26" s="443"/>
      <c r="D26" s="443"/>
      <c r="E26" s="443"/>
      <c r="F26" s="443"/>
      <c r="G26" s="443"/>
      <c r="H26" s="443"/>
      <c r="I26" s="443"/>
      <c r="J26" s="443"/>
      <c r="K26" s="443"/>
      <c r="L26" s="443"/>
      <c r="M26" s="443"/>
      <c r="N26" s="443"/>
      <c r="O26" s="443"/>
      <c r="P26" s="443"/>
      <c r="Q26" s="443"/>
      <c r="R26" s="443"/>
      <c r="S26" s="443"/>
      <c r="T26" s="443"/>
      <c r="U26" s="443"/>
      <c r="V26" s="443"/>
      <c r="W26" s="443"/>
      <c r="X26" s="443"/>
      <c r="Y26" s="443"/>
      <c r="Z26" s="443"/>
      <c r="AA26" s="443"/>
      <c r="AB26" s="443"/>
      <c r="AC26" s="443"/>
      <c r="AD26" s="443"/>
      <c r="AE26" s="443"/>
      <c r="AF26" s="443"/>
      <c r="AG26" s="443"/>
      <c r="AH26" s="443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</row>
    <row r="27" spans="1:69" x14ac:dyDescent="0.2">
      <c r="A27" s="443"/>
      <c r="B27" s="443"/>
      <c r="C27" s="443"/>
      <c r="D27" s="443"/>
      <c r="E27" s="443"/>
      <c r="F27" s="443"/>
      <c r="G27" s="443"/>
      <c r="H27" s="443"/>
      <c r="I27" s="443"/>
      <c r="J27" s="443"/>
      <c r="K27" s="443"/>
      <c r="L27" s="443"/>
      <c r="M27" s="443"/>
      <c r="N27" s="443"/>
      <c r="O27" s="443"/>
      <c r="P27" s="443"/>
      <c r="Q27" s="443"/>
      <c r="R27" s="443"/>
      <c r="S27" s="443"/>
      <c r="T27" s="443"/>
      <c r="U27" s="443"/>
      <c r="V27" s="443"/>
      <c r="W27" s="443"/>
      <c r="X27" s="443"/>
      <c r="Y27" s="443"/>
      <c r="Z27" s="443"/>
      <c r="AA27" s="443"/>
      <c r="AB27" s="443"/>
      <c r="AC27" s="443"/>
      <c r="AD27" s="443"/>
      <c r="AE27" s="443"/>
      <c r="AF27" s="443"/>
      <c r="AG27" s="443"/>
      <c r="AH27" s="443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</row>
    <row r="28" spans="1:69" x14ac:dyDescent="0.2">
      <c r="A28" s="443"/>
      <c r="B28" s="443"/>
      <c r="C28" s="443"/>
      <c r="D28" s="443"/>
      <c r="E28" s="443"/>
      <c r="F28" s="443"/>
      <c r="G28" s="443"/>
      <c r="H28" s="443"/>
      <c r="I28" s="443"/>
      <c r="J28" s="443"/>
      <c r="K28" s="443"/>
      <c r="L28" s="443"/>
      <c r="M28" s="443"/>
      <c r="N28" s="443"/>
      <c r="O28" s="443"/>
      <c r="P28" s="443"/>
      <c r="Q28" s="443"/>
      <c r="R28" s="443"/>
      <c r="S28" s="443"/>
      <c r="T28" s="443"/>
      <c r="U28" s="443"/>
      <c r="V28" s="443"/>
      <c r="W28" s="443"/>
      <c r="X28" s="443"/>
      <c r="Y28" s="443"/>
      <c r="Z28" s="443"/>
      <c r="AA28" s="443"/>
      <c r="AB28" s="443"/>
      <c r="AC28" s="443"/>
      <c r="AD28" s="443"/>
      <c r="AE28" s="443"/>
      <c r="AF28" s="443"/>
      <c r="AG28" s="443"/>
      <c r="AH28" s="443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</row>
    <row r="29" spans="1:69" x14ac:dyDescent="0.2">
      <c r="A29" s="443"/>
      <c r="B29" s="443"/>
      <c r="C29" s="443"/>
      <c r="D29" s="443"/>
      <c r="E29" s="443"/>
      <c r="F29" s="443"/>
      <c r="G29" s="443"/>
      <c r="H29" s="443"/>
      <c r="I29" s="443"/>
      <c r="J29" s="443"/>
      <c r="K29" s="443"/>
      <c r="L29" s="443"/>
      <c r="M29" s="443"/>
      <c r="N29" s="443"/>
      <c r="O29" s="443"/>
      <c r="P29" s="443"/>
      <c r="Q29" s="443"/>
      <c r="R29" s="443"/>
      <c r="S29" s="443"/>
      <c r="T29" s="443"/>
      <c r="U29" s="443"/>
      <c r="V29" s="443"/>
      <c r="W29" s="443"/>
      <c r="X29" s="443"/>
      <c r="Y29" s="443"/>
      <c r="Z29" s="443"/>
      <c r="AA29" s="443"/>
      <c r="AB29" s="443"/>
      <c r="AC29" s="443"/>
      <c r="AD29" s="443"/>
      <c r="AE29" s="443"/>
      <c r="AF29" s="443"/>
      <c r="AG29" s="443"/>
      <c r="AH29" s="443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</row>
    <row r="30" spans="1:69" x14ac:dyDescent="0.2">
      <c r="A30" s="443"/>
      <c r="B30" s="443"/>
      <c r="C30" s="443"/>
      <c r="D30" s="443"/>
      <c r="E30" s="443"/>
      <c r="F30" s="443"/>
      <c r="G30" s="443"/>
      <c r="H30" s="443"/>
      <c r="I30" s="443"/>
      <c r="J30" s="443"/>
      <c r="K30" s="443"/>
      <c r="L30" s="443"/>
      <c r="M30" s="443"/>
      <c r="N30" s="443"/>
      <c r="O30" s="443"/>
      <c r="P30" s="443"/>
      <c r="Q30" s="443"/>
      <c r="R30" s="443"/>
      <c r="S30" s="443"/>
      <c r="T30" s="443"/>
      <c r="U30" s="443"/>
      <c r="V30" s="443"/>
      <c r="W30" s="443"/>
      <c r="X30" s="443"/>
      <c r="Y30" s="443"/>
      <c r="Z30" s="443"/>
      <c r="AA30" s="443"/>
      <c r="AB30" s="443"/>
      <c r="AC30" s="443"/>
      <c r="AD30" s="443"/>
      <c r="AE30" s="443"/>
      <c r="AF30" s="443"/>
      <c r="AG30" s="443"/>
      <c r="AH30" s="443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</row>
    <row r="31" spans="1:69" x14ac:dyDescent="0.2">
      <c r="A31" s="443"/>
      <c r="B31" s="443"/>
      <c r="C31" s="443"/>
      <c r="D31" s="443"/>
      <c r="E31" s="443"/>
      <c r="F31" s="443"/>
      <c r="G31" s="443"/>
      <c r="H31" s="443"/>
      <c r="I31" s="443"/>
      <c r="J31" s="443"/>
      <c r="K31" s="443"/>
      <c r="L31" s="443"/>
      <c r="M31" s="443"/>
      <c r="N31" s="443"/>
      <c r="O31" s="443"/>
      <c r="P31" s="443"/>
      <c r="Q31" s="443"/>
      <c r="R31" s="443"/>
      <c r="S31" s="443"/>
      <c r="T31" s="443"/>
      <c r="U31" s="443"/>
      <c r="V31" s="443"/>
      <c r="W31" s="443"/>
      <c r="X31" s="443"/>
      <c r="Y31" s="443"/>
      <c r="Z31" s="443"/>
      <c r="AA31" s="443"/>
      <c r="AB31" s="443"/>
      <c r="AC31" s="443"/>
      <c r="AD31" s="443"/>
      <c r="AE31" s="443"/>
      <c r="AF31" s="443"/>
      <c r="AG31" s="443"/>
      <c r="AH31" s="443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</row>
    <row r="32" spans="1:69" x14ac:dyDescent="0.2">
      <c r="A32" s="443"/>
      <c r="B32" s="443"/>
      <c r="C32" s="443"/>
      <c r="D32" s="443"/>
      <c r="E32" s="443"/>
      <c r="F32" s="443"/>
      <c r="G32" s="443"/>
      <c r="H32" s="443"/>
      <c r="I32" s="443"/>
      <c r="J32" s="443"/>
      <c r="K32" s="443"/>
      <c r="L32" s="443"/>
      <c r="M32" s="443"/>
      <c r="N32" s="443"/>
      <c r="O32" s="443"/>
      <c r="P32" s="443"/>
      <c r="Q32" s="443"/>
      <c r="R32" s="443"/>
      <c r="S32" s="443"/>
      <c r="T32" s="443"/>
      <c r="U32" s="443"/>
      <c r="V32" s="443"/>
      <c r="W32" s="443"/>
      <c r="X32" s="443"/>
      <c r="Y32" s="443"/>
      <c r="Z32" s="443"/>
      <c r="AA32" s="443"/>
      <c r="AB32" s="443"/>
      <c r="AC32" s="443"/>
      <c r="AD32" s="443"/>
      <c r="AE32" s="443"/>
      <c r="AF32" s="443"/>
      <c r="AG32" s="443"/>
      <c r="AH32" s="443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</row>
    <row r="33" spans="1:69" x14ac:dyDescent="0.2">
      <c r="A33" s="443"/>
      <c r="B33" s="443"/>
      <c r="C33" s="443"/>
      <c r="D33" s="443"/>
      <c r="E33" s="443"/>
      <c r="F33" s="443"/>
      <c r="G33" s="443"/>
      <c r="H33" s="443"/>
      <c r="I33" s="443"/>
      <c r="J33" s="443"/>
      <c r="K33" s="443"/>
      <c r="L33" s="443"/>
      <c r="M33" s="443"/>
      <c r="N33" s="443"/>
      <c r="O33" s="443"/>
      <c r="P33" s="443"/>
      <c r="Q33" s="443"/>
      <c r="R33" s="443"/>
      <c r="S33" s="443"/>
      <c r="T33" s="443"/>
      <c r="U33" s="443"/>
      <c r="V33" s="443"/>
      <c r="W33" s="443"/>
      <c r="X33" s="443"/>
      <c r="Y33" s="443"/>
      <c r="Z33" s="443"/>
      <c r="AA33" s="443"/>
      <c r="AB33" s="443"/>
      <c r="AC33" s="443"/>
      <c r="AD33" s="443"/>
      <c r="AE33" s="443"/>
      <c r="AF33" s="443"/>
      <c r="AG33" s="443"/>
      <c r="AH33" s="443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</row>
    <row r="34" spans="1:69" x14ac:dyDescent="0.2">
      <c r="A34" s="443"/>
      <c r="B34" s="443"/>
      <c r="C34" s="443"/>
      <c r="D34" s="443"/>
      <c r="E34" s="443"/>
      <c r="F34" s="443"/>
      <c r="G34" s="443"/>
      <c r="H34" s="443"/>
      <c r="I34" s="443"/>
      <c r="J34" s="443"/>
      <c r="K34" s="443"/>
      <c r="L34" s="443"/>
      <c r="M34" s="443"/>
      <c r="N34" s="443"/>
      <c r="O34" s="443"/>
      <c r="P34" s="443"/>
      <c r="Q34" s="443"/>
      <c r="R34" s="443"/>
      <c r="S34" s="443"/>
      <c r="T34" s="443"/>
      <c r="U34" s="443"/>
      <c r="V34" s="443"/>
      <c r="W34" s="443"/>
      <c r="X34" s="443"/>
      <c r="Y34" s="443"/>
      <c r="Z34" s="443"/>
      <c r="AA34" s="443"/>
      <c r="AB34" s="443"/>
      <c r="AC34" s="443"/>
      <c r="AD34" s="443"/>
      <c r="AE34" s="443"/>
      <c r="AF34" s="443"/>
      <c r="AG34" s="443"/>
      <c r="AH34" s="443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</row>
    <row r="35" spans="1:69" x14ac:dyDescent="0.2">
      <c r="A35" s="443"/>
      <c r="B35" s="443"/>
      <c r="C35" s="443"/>
      <c r="D35" s="443"/>
      <c r="E35" s="443"/>
      <c r="F35" s="443"/>
      <c r="G35" s="443"/>
      <c r="H35" s="443"/>
      <c r="I35" s="443"/>
      <c r="J35" s="443"/>
      <c r="K35" s="443"/>
      <c r="L35" s="443"/>
      <c r="M35" s="443"/>
      <c r="N35" s="443"/>
      <c r="O35" s="443"/>
      <c r="P35" s="443"/>
      <c r="Q35" s="443"/>
      <c r="R35" s="443"/>
      <c r="S35" s="443"/>
      <c r="T35" s="443"/>
      <c r="U35" s="443"/>
      <c r="V35" s="443"/>
      <c r="W35" s="443"/>
      <c r="X35" s="443"/>
      <c r="Y35" s="443"/>
      <c r="Z35" s="443"/>
      <c r="AA35" s="443"/>
      <c r="AB35" s="443"/>
      <c r="AC35" s="443"/>
      <c r="AD35" s="443"/>
      <c r="AE35" s="443"/>
      <c r="AF35" s="443"/>
      <c r="AG35" s="443"/>
      <c r="AH35" s="443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</row>
    <row r="36" spans="1:69" x14ac:dyDescent="0.2">
      <c r="A36" s="443"/>
      <c r="B36" s="443"/>
      <c r="C36" s="443"/>
      <c r="D36" s="443"/>
      <c r="E36" s="443"/>
      <c r="F36" s="443"/>
      <c r="G36" s="443"/>
      <c r="H36" s="443"/>
      <c r="I36" s="443"/>
      <c r="J36" s="443"/>
      <c r="K36" s="443"/>
      <c r="L36" s="443"/>
      <c r="M36" s="443"/>
      <c r="N36" s="443"/>
      <c r="O36" s="443"/>
      <c r="P36" s="443"/>
      <c r="Q36" s="443"/>
      <c r="R36" s="443"/>
      <c r="S36" s="443"/>
      <c r="T36" s="443"/>
      <c r="U36" s="443"/>
      <c r="V36" s="443"/>
      <c r="W36" s="443"/>
      <c r="X36" s="443"/>
      <c r="Y36" s="443"/>
      <c r="Z36" s="443"/>
      <c r="AA36" s="443"/>
      <c r="AB36" s="443"/>
      <c r="AC36" s="443"/>
      <c r="AD36" s="443"/>
      <c r="AE36" s="443"/>
      <c r="AF36" s="443"/>
      <c r="AG36" s="443"/>
      <c r="AH36" s="443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</row>
    <row r="37" spans="1:69" x14ac:dyDescent="0.2">
      <c r="A37" s="443"/>
      <c r="B37" s="443"/>
      <c r="C37" s="443"/>
      <c r="D37" s="443"/>
      <c r="E37" s="443"/>
      <c r="F37" s="443"/>
      <c r="G37" s="443"/>
      <c r="H37" s="443"/>
      <c r="I37" s="443"/>
      <c r="J37" s="443"/>
      <c r="K37" s="443"/>
      <c r="L37" s="443"/>
      <c r="M37" s="443"/>
      <c r="N37" s="443"/>
      <c r="O37" s="443"/>
      <c r="P37" s="443"/>
      <c r="Q37" s="443"/>
      <c r="R37" s="443"/>
      <c r="S37" s="443"/>
      <c r="T37" s="443"/>
      <c r="U37" s="443"/>
      <c r="V37" s="443"/>
      <c r="W37" s="443"/>
      <c r="X37" s="443"/>
      <c r="Y37" s="443"/>
      <c r="Z37" s="443"/>
      <c r="AA37" s="443"/>
      <c r="AB37" s="443"/>
      <c r="AC37" s="443"/>
      <c r="AD37" s="443"/>
      <c r="AE37" s="443"/>
      <c r="AF37" s="443"/>
      <c r="AG37" s="443"/>
      <c r="AH37" s="443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</row>
    <row r="38" spans="1:69" x14ac:dyDescent="0.2">
      <c r="A38" s="443"/>
      <c r="B38" s="443"/>
      <c r="C38" s="443"/>
      <c r="D38" s="443"/>
      <c r="E38" s="443"/>
      <c r="F38" s="443"/>
      <c r="G38" s="443"/>
      <c r="H38" s="443"/>
      <c r="I38" s="443"/>
      <c r="J38" s="443"/>
      <c r="K38" s="443"/>
      <c r="L38" s="443"/>
      <c r="M38" s="443"/>
      <c r="N38" s="443"/>
      <c r="O38" s="443"/>
      <c r="P38" s="443"/>
      <c r="Q38" s="443"/>
      <c r="R38" s="443"/>
      <c r="S38" s="443"/>
      <c r="T38" s="443"/>
      <c r="U38" s="443"/>
      <c r="V38" s="443"/>
      <c r="W38" s="443"/>
      <c r="X38" s="443"/>
      <c r="Y38" s="443"/>
      <c r="Z38" s="443"/>
      <c r="AA38" s="443"/>
      <c r="AB38" s="443"/>
      <c r="AC38" s="443"/>
      <c r="AD38" s="443"/>
      <c r="AE38" s="443"/>
      <c r="AF38" s="443"/>
      <c r="AG38" s="443"/>
      <c r="AH38" s="443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</row>
    <row r="39" spans="1:69" x14ac:dyDescent="0.2">
      <c r="A39" s="443"/>
      <c r="B39" s="443"/>
      <c r="C39" s="443"/>
      <c r="D39" s="443"/>
      <c r="E39" s="443"/>
      <c r="F39" s="443"/>
      <c r="G39" s="443"/>
      <c r="H39" s="443"/>
      <c r="I39" s="443"/>
      <c r="J39" s="443"/>
      <c r="K39" s="443"/>
      <c r="L39" s="443"/>
      <c r="M39" s="443"/>
      <c r="N39" s="443"/>
      <c r="O39" s="443"/>
      <c r="P39" s="443"/>
      <c r="Q39" s="443"/>
      <c r="R39" s="443"/>
      <c r="S39" s="443"/>
      <c r="T39" s="443"/>
      <c r="U39" s="443"/>
      <c r="V39" s="443"/>
      <c r="W39" s="443"/>
      <c r="X39" s="443"/>
      <c r="Y39" s="443"/>
      <c r="Z39" s="443"/>
      <c r="AA39" s="443"/>
      <c r="AB39" s="443"/>
      <c r="AC39" s="443"/>
      <c r="AD39" s="443"/>
      <c r="AE39" s="443"/>
      <c r="AF39" s="443"/>
      <c r="AG39" s="443"/>
      <c r="AH39" s="443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</row>
    <row r="40" spans="1:69" x14ac:dyDescent="0.2">
      <c r="A40" s="443"/>
      <c r="B40" s="443"/>
      <c r="C40" s="443"/>
      <c r="D40" s="443"/>
      <c r="E40" s="443"/>
      <c r="F40" s="443"/>
      <c r="G40" s="443"/>
      <c r="H40" s="443"/>
      <c r="I40" s="443"/>
      <c r="J40" s="443"/>
      <c r="K40" s="443"/>
      <c r="L40" s="443"/>
      <c r="M40" s="443"/>
      <c r="N40" s="443"/>
      <c r="O40" s="443"/>
      <c r="P40" s="443"/>
      <c r="Q40" s="443"/>
      <c r="R40" s="443"/>
      <c r="S40" s="443"/>
      <c r="T40" s="443"/>
      <c r="U40" s="443"/>
      <c r="V40" s="443"/>
      <c r="W40" s="443"/>
      <c r="X40" s="443"/>
      <c r="Y40" s="443"/>
      <c r="Z40" s="443"/>
      <c r="AA40" s="443"/>
      <c r="AB40" s="443"/>
      <c r="AC40" s="443"/>
      <c r="AD40" s="443"/>
      <c r="AE40" s="443"/>
      <c r="AF40" s="443"/>
      <c r="AG40" s="443"/>
      <c r="AH40" s="443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</row>
    <row r="41" spans="1:69" x14ac:dyDescent="0.2">
      <c r="A41" s="443"/>
      <c r="B41" s="443"/>
      <c r="C41" s="443"/>
      <c r="D41" s="443"/>
      <c r="E41" s="443"/>
      <c r="F41" s="443"/>
      <c r="G41" s="443"/>
      <c r="H41" s="443"/>
      <c r="I41" s="443"/>
      <c r="J41" s="443"/>
      <c r="K41" s="443"/>
      <c r="L41" s="443"/>
      <c r="M41" s="443"/>
      <c r="N41" s="443"/>
      <c r="O41" s="443"/>
      <c r="P41" s="443"/>
      <c r="Q41" s="443"/>
      <c r="R41" s="443"/>
      <c r="S41" s="443"/>
      <c r="T41" s="443"/>
      <c r="U41" s="443"/>
      <c r="V41" s="443"/>
      <c r="W41" s="443"/>
      <c r="X41" s="443"/>
      <c r="Y41" s="443"/>
      <c r="Z41" s="443"/>
      <c r="AA41" s="443"/>
      <c r="AB41" s="443"/>
      <c r="AC41" s="443"/>
      <c r="AD41" s="443"/>
      <c r="AE41" s="443"/>
      <c r="AF41" s="443"/>
      <c r="AG41" s="443"/>
      <c r="AH41" s="443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</row>
    <row r="42" spans="1:69" x14ac:dyDescent="0.2">
      <c r="A42" s="444"/>
      <c r="B42" s="444"/>
      <c r="C42" s="444"/>
      <c r="D42" s="444"/>
      <c r="E42" s="444"/>
      <c r="F42" s="444"/>
      <c r="G42" s="444"/>
      <c r="H42" s="444"/>
      <c r="I42" s="444"/>
      <c r="J42" s="444"/>
      <c r="K42" s="444"/>
      <c r="L42" s="444"/>
      <c r="M42" s="444"/>
      <c r="N42" s="444"/>
      <c r="O42" s="444"/>
      <c r="P42" s="444"/>
      <c r="Q42" s="444"/>
      <c r="R42" s="444"/>
      <c r="S42" s="444"/>
      <c r="T42" s="444"/>
      <c r="U42" s="444"/>
      <c r="V42" s="444"/>
      <c r="W42" s="444"/>
      <c r="X42" s="444"/>
      <c r="Y42" s="444"/>
      <c r="Z42" s="444"/>
      <c r="AA42" s="444"/>
      <c r="AB42" s="444"/>
      <c r="AC42" s="444"/>
      <c r="AD42" s="444"/>
      <c r="AE42" s="444"/>
      <c r="AF42" s="444"/>
      <c r="AG42" s="444"/>
      <c r="AH42" s="444"/>
    </row>
    <row r="43" spans="1:69" x14ac:dyDescent="0.2">
      <c r="A43" s="444"/>
      <c r="B43" s="444"/>
      <c r="C43" s="444"/>
      <c r="D43" s="444"/>
      <c r="E43" s="444"/>
      <c r="F43" s="444"/>
      <c r="G43" s="444"/>
      <c r="H43" s="444"/>
      <c r="I43" s="444"/>
      <c r="J43" s="444"/>
      <c r="K43" s="444"/>
      <c r="L43" s="444"/>
      <c r="M43" s="444"/>
      <c r="N43" s="444"/>
      <c r="O43" s="444"/>
      <c r="P43" s="444"/>
      <c r="Q43" s="444"/>
      <c r="R43" s="444"/>
      <c r="S43" s="444"/>
      <c r="T43" s="444"/>
      <c r="U43" s="444"/>
      <c r="V43" s="444"/>
      <c r="W43" s="444"/>
      <c r="X43" s="444"/>
      <c r="Y43" s="444"/>
      <c r="Z43" s="444"/>
      <c r="AA43" s="444"/>
      <c r="AB43" s="444"/>
      <c r="AC43" s="444"/>
      <c r="AD43" s="444"/>
      <c r="AE43" s="444"/>
      <c r="AF43" s="444"/>
      <c r="AG43" s="444"/>
      <c r="AH43" s="444"/>
    </row>
    <row r="44" spans="1:69" x14ac:dyDescent="0.2">
      <c r="A44" s="444"/>
      <c r="B44" s="444"/>
      <c r="C44" s="444"/>
      <c r="D44" s="444"/>
      <c r="E44" s="444"/>
      <c r="F44" s="444"/>
      <c r="G44" s="444"/>
      <c r="H44" s="444"/>
      <c r="I44" s="444"/>
      <c r="J44" s="444"/>
      <c r="K44" s="444"/>
      <c r="L44" s="444"/>
      <c r="M44" s="444"/>
      <c r="N44" s="444"/>
      <c r="O44" s="444"/>
      <c r="P44" s="444"/>
      <c r="Q44" s="444"/>
      <c r="R44" s="444"/>
      <c r="S44" s="444"/>
      <c r="T44" s="444"/>
      <c r="U44" s="444"/>
      <c r="V44" s="444"/>
      <c r="W44" s="444"/>
      <c r="X44" s="444"/>
      <c r="Y44" s="444"/>
      <c r="Z44" s="444"/>
      <c r="AA44" s="444"/>
      <c r="AB44" s="444"/>
      <c r="AC44" s="444"/>
      <c r="AD44" s="444"/>
      <c r="AE44" s="444"/>
      <c r="AF44" s="444"/>
      <c r="AG44" s="444"/>
      <c r="AH44" s="444"/>
    </row>
    <row r="45" spans="1:69" x14ac:dyDescent="0.2">
      <c r="A45" s="444"/>
      <c r="B45" s="444"/>
      <c r="C45" s="444"/>
      <c r="D45" s="444"/>
      <c r="E45" s="444"/>
      <c r="F45" s="444"/>
      <c r="G45" s="444"/>
      <c r="H45" s="444"/>
      <c r="I45" s="444"/>
      <c r="J45" s="444"/>
      <c r="K45" s="444"/>
      <c r="L45" s="444"/>
      <c r="M45" s="444"/>
      <c r="N45" s="444"/>
      <c r="O45" s="444"/>
      <c r="P45" s="444"/>
      <c r="Q45" s="444"/>
      <c r="R45" s="444"/>
      <c r="S45" s="444"/>
      <c r="T45" s="444"/>
      <c r="U45" s="444"/>
      <c r="V45" s="444"/>
      <c r="W45" s="444"/>
      <c r="X45" s="444"/>
      <c r="Y45" s="444"/>
      <c r="Z45" s="444"/>
      <c r="AA45" s="444"/>
      <c r="AB45" s="444"/>
      <c r="AC45" s="444"/>
      <c r="AD45" s="444"/>
      <c r="AE45" s="444"/>
      <c r="AF45" s="444"/>
      <c r="AG45" s="444"/>
      <c r="AH45" s="444"/>
    </row>
    <row r="46" spans="1:69" x14ac:dyDescent="0.2">
      <c r="H46" s="444"/>
      <c r="I46" s="444"/>
      <c r="J46" s="444"/>
      <c r="K46" s="444"/>
      <c r="L46" s="444"/>
      <c r="M46" s="444"/>
      <c r="N46" s="444"/>
      <c r="O46" s="444"/>
      <c r="P46" s="444"/>
      <c r="Q46" s="444"/>
      <c r="R46" s="444"/>
      <c r="S46" s="444"/>
      <c r="T46" s="444"/>
      <c r="U46" s="444"/>
      <c r="V46" s="444"/>
      <c r="W46" s="444"/>
      <c r="X46" s="444"/>
      <c r="Y46" s="444"/>
      <c r="Z46" s="444"/>
      <c r="AA46" s="444"/>
      <c r="AB46" s="444"/>
      <c r="AC46" s="444"/>
      <c r="AD46" s="444"/>
      <c r="AE46" s="444"/>
      <c r="AF46" s="444"/>
      <c r="AG46" s="444"/>
      <c r="AH46" s="444"/>
    </row>
    <row r="47" spans="1:69" x14ac:dyDescent="0.2">
      <c r="H47" s="444"/>
      <c r="I47" s="444"/>
      <c r="J47" s="444"/>
      <c r="K47" s="444"/>
      <c r="L47" s="444"/>
      <c r="M47" s="444"/>
      <c r="N47" s="444"/>
      <c r="O47" s="444"/>
      <c r="P47" s="444"/>
      <c r="Q47" s="444"/>
      <c r="R47" s="444"/>
      <c r="S47" s="444"/>
      <c r="T47" s="444"/>
      <c r="U47" s="444"/>
      <c r="V47" s="444"/>
      <c r="W47" s="444"/>
      <c r="X47" s="444"/>
      <c r="Y47" s="444"/>
      <c r="Z47" s="444"/>
      <c r="AA47" s="444"/>
      <c r="AB47" s="444"/>
      <c r="AC47" s="444"/>
      <c r="AD47" s="444"/>
      <c r="AE47" s="444"/>
      <c r="AF47" s="444"/>
      <c r="AG47" s="444"/>
      <c r="AH47" s="444"/>
    </row>
    <row r="48" spans="1:69" x14ac:dyDescent="0.2">
      <c r="H48" s="444"/>
      <c r="I48" s="444"/>
      <c r="J48" s="444"/>
      <c r="K48" s="444"/>
      <c r="L48" s="444"/>
      <c r="M48" s="444"/>
      <c r="N48" s="444"/>
      <c r="O48" s="444"/>
      <c r="P48" s="444"/>
      <c r="Q48" s="444"/>
      <c r="R48" s="444"/>
      <c r="S48" s="444"/>
      <c r="T48" s="444"/>
      <c r="U48" s="444"/>
      <c r="V48" s="444"/>
      <c r="W48" s="444"/>
      <c r="X48" s="444"/>
      <c r="Y48" s="444"/>
      <c r="Z48" s="444"/>
      <c r="AA48" s="444"/>
      <c r="AB48" s="444"/>
      <c r="AC48" s="444"/>
      <c r="AD48" s="444"/>
      <c r="AE48" s="444"/>
      <c r="AF48" s="444"/>
      <c r="AG48" s="444"/>
      <c r="AH48" s="444"/>
    </row>
    <row r="49" spans="8:34" x14ac:dyDescent="0.2">
      <c r="H49" s="444"/>
      <c r="I49" s="444"/>
      <c r="J49" s="444"/>
      <c r="K49" s="444"/>
      <c r="L49" s="444"/>
      <c r="M49" s="444"/>
      <c r="N49" s="444"/>
      <c r="O49" s="444"/>
      <c r="P49" s="444"/>
      <c r="Q49" s="444"/>
      <c r="R49" s="444"/>
      <c r="S49" s="444"/>
      <c r="T49" s="444"/>
      <c r="U49" s="444"/>
      <c r="V49" s="444"/>
      <c r="W49" s="444"/>
      <c r="X49" s="444"/>
      <c r="Y49" s="444"/>
      <c r="Z49" s="444"/>
      <c r="AA49" s="444"/>
      <c r="AB49" s="444"/>
      <c r="AC49" s="444"/>
      <c r="AD49" s="444"/>
      <c r="AE49" s="444"/>
      <c r="AF49" s="444"/>
      <c r="AG49" s="444"/>
      <c r="AH49" s="444"/>
    </row>
    <row r="50" spans="8:34" x14ac:dyDescent="0.2">
      <c r="H50" s="444"/>
      <c r="I50" s="444"/>
      <c r="J50" s="444"/>
      <c r="K50" s="444"/>
      <c r="L50" s="444"/>
      <c r="M50" s="444"/>
      <c r="N50" s="444"/>
      <c r="O50" s="444"/>
      <c r="P50" s="444"/>
      <c r="Q50" s="444"/>
      <c r="R50" s="444"/>
      <c r="S50" s="444"/>
      <c r="T50" s="444"/>
      <c r="U50" s="444"/>
      <c r="V50" s="444"/>
      <c r="W50" s="444"/>
      <c r="X50" s="444"/>
      <c r="Y50" s="444"/>
      <c r="Z50" s="444"/>
      <c r="AA50" s="444"/>
      <c r="AB50" s="444"/>
      <c r="AC50" s="444"/>
      <c r="AD50" s="444"/>
      <c r="AE50" s="444"/>
      <c r="AF50" s="444"/>
      <c r="AG50" s="444"/>
      <c r="AH50" s="444"/>
    </row>
    <row r="51" spans="8:34" x14ac:dyDescent="0.2">
      <c r="H51" s="444"/>
      <c r="I51" s="444"/>
      <c r="J51" s="444"/>
      <c r="K51" s="444"/>
      <c r="L51" s="444"/>
      <c r="M51" s="444"/>
      <c r="N51" s="444"/>
      <c r="O51" s="444"/>
      <c r="P51" s="444"/>
      <c r="Q51" s="444"/>
      <c r="R51" s="444"/>
      <c r="S51" s="444"/>
      <c r="T51" s="444"/>
      <c r="U51" s="444"/>
      <c r="V51" s="444"/>
      <c r="W51" s="444"/>
      <c r="X51" s="444"/>
      <c r="Y51" s="444"/>
      <c r="Z51" s="444"/>
      <c r="AA51" s="444"/>
      <c r="AB51" s="444"/>
      <c r="AC51" s="444"/>
      <c r="AD51" s="444"/>
      <c r="AE51" s="444"/>
      <c r="AF51" s="444"/>
      <c r="AG51" s="444"/>
      <c r="AH51" s="444"/>
    </row>
    <row r="52" spans="8:34" x14ac:dyDescent="0.2">
      <c r="H52" s="444"/>
      <c r="I52" s="444"/>
      <c r="J52" s="444"/>
      <c r="K52" s="444"/>
      <c r="L52" s="444"/>
      <c r="M52" s="444"/>
      <c r="N52" s="444"/>
      <c r="O52" s="444"/>
      <c r="P52" s="444"/>
      <c r="Q52" s="444"/>
      <c r="R52" s="444"/>
      <c r="S52" s="444"/>
      <c r="T52" s="444"/>
      <c r="U52" s="444"/>
      <c r="V52" s="444"/>
      <c r="W52" s="444"/>
      <c r="X52" s="444"/>
      <c r="Y52" s="444"/>
      <c r="Z52" s="444"/>
      <c r="AA52" s="444"/>
      <c r="AB52" s="444"/>
      <c r="AC52" s="444"/>
      <c r="AD52" s="444"/>
      <c r="AE52" s="444"/>
      <c r="AF52" s="444"/>
      <c r="AG52" s="444"/>
      <c r="AH52" s="444"/>
    </row>
    <row r="53" spans="8:34" x14ac:dyDescent="0.2">
      <c r="H53" s="444"/>
      <c r="I53" s="444"/>
      <c r="J53" s="444"/>
      <c r="K53" s="444"/>
      <c r="L53" s="444"/>
      <c r="M53" s="444"/>
      <c r="N53" s="444"/>
      <c r="O53" s="444"/>
      <c r="P53" s="444"/>
      <c r="Q53" s="444"/>
      <c r="R53" s="444"/>
      <c r="S53" s="444"/>
      <c r="T53" s="444"/>
      <c r="U53" s="444"/>
      <c r="V53" s="444"/>
      <c r="W53" s="444"/>
      <c r="X53" s="444"/>
      <c r="Y53" s="444"/>
      <c r="Z53" s="444"/>
      <c r="AA53" s="444"/>
      <c r="AB53" s="444"/>
      <c r="AC53" s="444"/>
      <c r="AD53" s="444"/>
      <c r="AE53" s="444"/>
      <c r="AF53" s="444"/>
      <c r="AG53" s="444"/>
      <c r="AH53" s="444"/>
    </row>
    <row r="54" spans="8:34" x14ac:dyDescent="0.2">
      <c r="H54" s="444"/>
      <c r="I54" s="444"/>
      <c r="J54" s="444"/>
      <c r="K54" s="444"/>
      <c r="L54" s="444"/>
      <c r="M54" s="444"/>
      <c r="N54" s="444"/>
      <c r="O54" s="444"/>
      <c r="P54" s="444"/>
      <c r="Q54" s="444"/>
      <c r="R54" s="444"/>
      <c r="S54" s="444"/>
      <c r="T54" s="444"/>
      <c r="U54" s="444"/>
      <c r="V54" s="444"/>
      <c r="W54" s="444"/>
      <c r="X54" s="444"/>
      <c r="Y54" s="444"/>
      <c r="Z54" s="444"/>
      <c r="AA54" s="444"/>
      <c r="AB54" s="444"/>
      <c r="AC54" s="444"/>
      <c r="AD54" s="444"/>
      <c r="AE54" s="444"/>
      <c r="AF54" s="444"/>
      <c r="AG54" s="444"/>
      <c r="AH54" s="444"/>
    </row>
    <row r="55" spans="8:34" x14ac:dyDescent="0.2">
      <c r="H55" s="444"/>
      <c r="I55" s="444"/>
      <c r="J55" s="444"/>
      <c r="K55" s="444"/>
      <c r="L55" s="444"/>
      <c r="M55" s="444"/>
      <c r="N55" s="444"/>
      <c r="O55" s="444"/>
      <c r="P55" s="444"/>
      <c r="Q55" s="444"/>
      <c r="R55" s="444"/>
      <c r="S55" s="444"/>
      <c r="T55" s="444"/>
      <c r="U55" s="444"/>
      <c r="V55" s="444"/>
      <c r="W55" s="444"/>
      <c r="X55" s="444"/>
      <c r="Y55" s="444"/>
      <c r="Z55" s="444"/>
      <c r="AA55" s="444"/>
      <c r="AB55" s="444"/>
      <c r="AC55" s="444"/>
      <c r="AD55" s="444"/>
      <c r="AE55" s="444"/>
      <c r="AF55" s="444"/>
      <c r="AG55" s="444"/>
      <c r="AH55" s="444"/>
    </row>
    <row r="56" spans="8:34" x14ac:dyDescent="0.2">
      <c r="H56" s="444"/>
      <c r="I56" s="444"/>
      <c r="J56" s="444"/>
      <c r="K56" s="444"/>
      <c r="L56" s="444"/>
      <c r="M56" s="444"/>
      <c r="N56" s="444"/>
      <c r="O56" s="444"/>
      <c r="P56" s="444"/>
      <c r="Q56" s="444"/>
      <c r="R56" s="444"/>
      <c r="S56" s="444"/>
      <c r="T56" s="444"/>
      <c r="U56" s="444"/>
      <c r="V56" s="444"/>
      <c r="W56" s="444"/>
      <c r="X56" s="444"/>
      <c r="Y56" s="444"/>
      <c r="Z56" s="444"/>
      <c r="AA56" s="444"/>
      <c r="AB56" s="444"/>
      <c r="AC56" s="444"/>
      <c r="AD56" s="444"/>
      <c r="AE56" s="444"/>
      <c r="AF56" s="444"/>
      <c r="AG56" s="444"/>
      <c r="AH56" s="444"/>
    </row>
    <row r="57" spans="8:34" x14ac:dyDescent="0.2">
      <c r="H57" s="444"/>
      <c r="I57" s="444"/>
      <c r="J57" s="444"/>
      <c r="K57" s="444"/>
      <c r="L57" s="444"/>
      <c r="M57" s="444"/>
      <c r="N57" s="444"/>
      <c r="O57" s="444"/>
      <c r="P57" s="444"/>
      <c r="Q57" s="444"/>
      <c r="R57" s="444"/>
      <c r="S57" s="444"/>
      <c r="T57" s="444"/>
      <c r="U57" s="444"/>
      <c r="V57" s="444"/>
      <c r="W57" s="444"/>
      <c r="X57" s="444"/>
      <c r="Y57" s="444"/>
      <c r="Z57" s="444"/>
      <c r="AA57" s="444"/>
      <c r="AB57" s="444"/>
      <c r="AC57" s="444"/>
      <c r="AD57" s="444"/>
      <c r="AE57" s="444"/>
      <c r="AF57" s="444"/>
      <c r="AG57" s="444"/>
      <c r="AH57" s="444"/>
    </row>
    <row r="58" spans="8:34" x14ac:dyDescent="0.2">
      <c r="H58" s="444"/>
      <c r="I58" s="444"/>
      <c r="J58" s="444"/>
      <c r="K58" s="444"/>
      <c r="L58" s="444"/>
      <c r="M58" s="444"/>
      <c r="N58" s="444"/>
      <c r="O58" s="444"/>
      <c r="P58" s="444"/>
      <c r="Q58" s="444"/>
      <c r="R58" s="444"/>
      <c r="S58" s="444"/>
      <c r="T58" s="444"/>
      <c r="U58" s="444"/>
      <c r="V58" s="444"/>
      <c r="W58" s="444"/>
      <c r="X58" s="444"/>
      <c r="Y58" s="444"/>
      <c r="Z58" s="444"/>
      <c r="AA58" s="444"/>
      <c r="AB58" s="444"/>
      <c r="AC58" s="444"/>
      <c r="AD58" s="444"/>
      <c r="AE58" s="444"/>
      <c r="AF58" s="444"/>
      <c r="AG58" s="444"/>
      <c r="AH58" s="444"/>
    </row>
    <row r="59" spans="8:34" x14ac:dyDescent="0.2">
      <c r="H59" s="444"/>
      <c r="I59" s="444"/>
      <c r="J59" s="444"/>
      <c r="K59" s="444"/>
      <c r="L59" s="444"/>
      <c r="M59" s="444"/>
      <c r="N59" s="444"/>
      <c r="O59" s="444"/>
      <c r="P59" s="444"/>
      <c r="Q59" s="444"/>
      <c r="R59" s="444"/>
      <c r="S59" s="444"/>
      <c r="T59" s="444"/>
      <c r="U59" s="444"/>
      <c r="V59" s="444"/>
      <c r="W59" s="444"/>
      <c r="X59" s="444"/>
      <c r="Y59" s="444"/>
      <c r="Z59" s="444"/>
      <c r="AA59" s="444"/>
      <c r="AB59" s="444"/>
      <c r="AC59" s="444"/>
      <c r="AD59" s="444"/>
      <c r="AE59" s="444"/>
      <c r="AF59" s="444"/>
      <c r="AG59" s="444"/>
      <c r="AH59" s="444"/>
    </row>
    <row r="60" spans="8:34" x14ac:dyDescent="0.2">
      <c r="H60" s="444"/>
      <c r="I60" s="444"/>
      <c r="J60" s="444"/>
      <c r="K60" s="444"/>
      <c r="L60" s="444"/>
      <c r="M60" s="444"/>
      <c r="N60" s="444"/>
      <c r="O60" s="444"/>
      <c r="P60" s="444"/>
      <c r="Q60" s="444"/>
      <c r="R60" s="444"/>
      <c r="S60" s="444"/>
      <c r="T60" s="444"/>
      <c r="U60" s="444"/>
      <c r="V60" s="444"/>
      <c r="W60" s="444"/>
      <c r="X60" s="444"/>
      <c r="Y60" s="444"/>
      <c r="Z60" s="444"/>
      <c r="AA60" s="444"/>
      <c r="AB60" s="444"/>
      <c r="AC60" s="444"/>
      <c r="AD60" s="444"/>
      <c r="AE60" s="444"/>
      <c r="AF60" s="444"/>
      <c r="AG60" s="444"/>
      <c r="AH60" s="444"/>
    </row>
    <row r="61" spans="8:34" x14ac:dyDescent="0.2">
      <c r="H61" s="444"/>
      <c r="I61" s="444"/>
      <c r="J61" s="444"/>
      <c r="K61" s="444"/>
      <c r="L61" s="444"/>
      <c r="M61" s="444"/>
      <c r="N61" s="444"/>
      <c r="O61" s="444"/>
      <c r="P61" s="444"/>
      <c r="Q61" s="444"/>
      <c r="R61" s="444"/>
      <c r="S61" s="444"/>
      <c r="T61" s="444"/>
      <c r="U61" s="444"/>
      <c r="V61" s="444"/>
      <c r="W61" s="444"/>
      <c r="X61" s="444"/>
      <c r="Y61" s="444"/>
      <c r="Z61" s="444"/>
      <c r="AA61" s="444"/>
      <c r="AB61" s="444"/>
      <c r="AC61" s="444"/>
      <c r="AD61" s="444"/>
      <c r="AE61" s="444"/>
      <c r="AF61" s="444"/>
      <c r="AG61" s="444"/>
      <c r="AH61" s="444"/>
    </row>
    <row r="62" spans="8:34" x14ac:dyDescent="0.2">
      <c r="H62" s="444"/>
      <c r="I62" s="444"/>
      <c r="J62" s="444"/>
      <c r="K62" s="444"/>
      <c r="L62" s="444"/>
      <c r="M62" s="444"/>
      <c r="N62" s="444"/>
      <c r="O62" s="444"/>
      <c r="P62" s="444"/>
      <c r="Q62" s="444"/>
      <c r="R62" s="444"/>
      <c r="S62" s="444"/>
      <c r="T62" s="444"/>
      <c r="U62" s="444"/>
      <c r="V62" s="444"/>
      <c r="W62" s="444"/>
      <c r="X62" s="444"/>
      <c r="Y62" s="444"/>
      <c r="Z62" s="444"/>
      <c r="AA62" s="444"/>
      <c r="AB62" s="444"/>
      <c r="AC62" s="444"/>
      <c r="AD62" s="444"/>
      <c r="AE62" s="444"/>
      <c r="AF62" s="444"/>
      <c r="AG62" s="444"/>
      <c r="AH62" s="444"/>
    </row>
    <row r="63" spans="8:34" x14ac:dyDescent="0.2">
      <c r="H63" s="444"/>
      <c r="I63" s="444"/>
      <c r="J63" s="444"/>
      <c r="K63" s="444"/>
      <c r="L63" s="444"/>
      <c r="M63" s="444"/>
      <c r="N63" s="444"/>
      <c r="O63" s="444"/>
      <c r="P63" s="444"/>
      <c r="Q63" s="444"/>
      <c r="R63" s="444"/>
      <c r="S63" s="444"/>
      <c r="T63" s="444"/>
      <c r="U63" s="444"/>
      <c r="V63" s="444"/>
      <c r="W63" s="444"/>
      <c r="X63" s="444"/>
      <c r="Y63" s="444"/>
      <c r="Z63" s="444"/>
      <c r="AA63" s="444"/>
      <c r="AB63" s="444"/>
      <c r="AC63" s="444"/>
      <c r="AD63" s="444"/>
      <c r="AE63" s="444"/>
      <c r="AF63" s="444"/>
      <c r="AG63" s="444"/>
      <c r="AH63" s="444"/>
    </row>
    <row r="64" spans="8:34" x14ac:dyDescent="0.2">
      <c r="H64" s="444"/>
      <c r="I64" s="444"/>
      <c r="J64" s="444"/>
      <c r="K64" s="444"/>
      <c r="L64" s="444"/>
      <c r="M64" s="444"/>
      <c r="N64" s="444"/>
      <c r="O64" s="444"/>
      <c r="P64" s="444"/>
      <c r="Q64" s="444"/>
      <c r="R64" s="444"/>
      <c r="S64" s="444"/>
      <c r="T64" s="444"/>
      <c r="U64" s="444"/>
      <c r="V64" s="444"/>
      <c r="W64" s="444"/>
      <c r="X64" s="444"/>
      <c r="Y64" s="444"/>
      <c r="Z64" s="444"/>
      <c r="AA64" s="444"/>
      <c r="AB64" s="444"/>
      <c r="AC64" s="444"/>
      <c r="AD64" s="444"/>
      <c r="AE64" s="444"/>
      <c r="AF64" s="444"/>
      <c r="AG64" s="444"/>
      <c r="AH64" s="444"/>
    </row>
    <row r="65" spans="8:34" x14ac:dyDescent="0.2">
      <c r="H65" s="444"/>
      <c r="I65" s="444"/>
      <c r="J65" s="444"/>
      <c r="K65" s="444"/>
      <c r="L65" s="444"/>
      <c r="M65" s="444"/>
      <c r="N65" s="444"/>
      <c r="O65" s="444"/>
      <c r="P65" s="444"/>
      <c r="Q65" s="444"/>
      <c r="R65" s="444"/>
      <c r="S65" s="444"/>
      <c r="T65" s="444"/>
      <c r="U65" s="444"/>
      <c r="V65" s="444"/>
      <c r="W65" s="444"/>
      <c r="X65" s="444"/>
      <c r="Y65" s="444"/>
      <c r="Z65" s="444"/>
      <c r="AA65" s="444"/>
      <c r="AB65" s="444"/>
      <c r="AC65" s="444"/>
      <c r="AD65" s="444"/>
      <c r="AE65" s="444"/>
      <c r="AF65" s="444"/>
      <c r="AG65" s="444"/>
      <c r="AH65" s="444"/>
    </row>
    <row r="66" spans="8:34" x14ac:dyDescent="0.2">
      <c r="H66" s="444"/>
      <c r="I66" s="444"/>
      <c r="J66" s="444"/>
      <c r="K66" s="444"/>
      <c r="L66" s="444"/>
      <c r="M66" s="444"/>
      <c r="N66" s="444"/>
      <c r="O66" s="444"/>
      <c r="P66" s="444"/>
      <c r="Q66" s="444"/>
      <c r="R66" s="444"/>
      <c r="S66" s="444"/>
      <c r="T66" s="444"/>
      <c r="U66" s="444"/>
      <c r="V66" s="444"/>
      <c r="W66" s="444"/>
      <c r="X66" s="444"/>
      <c r="Y66" s="444"/>
      <c r="Z66" s="444"/>
      <c r="AA66" s="444"/>
      <c r="AB66" s="444"/>
      <c r="AC66" s="444"/>
      <c r="AD66" s="444"/>
      <c r="AE66" s="444"/>
      <c r="AF66" s="444"/>
      <c r="AG66" s="444"/>
      <c r="AH66" s="444"/>
    </row>
    <row r="67" spans="8:34" x14ac:dyDescent="0.2">
      <c r="H67" s="444"/>
      <c r="I67" s="444"/>
      <c r="J67" s="444"/>
      <c r="K67" s="444"/>
      <c r="L67" s="444"/>
      <c r="M67" s="444"/>
      <c r="N67" s="444"/>
      <c r="O67" s="444"/>
      <c r="P67" s="444"/>
      <c r="Q67" s="444"/>
      <c r="R67" s="444"/>
      <c r="S67" s="444"/>
      <c r="T67" s="444"/>
      <c r="U67" s="444"/>
      <c r="V67" s="444"/>
      <c r="W67" s="444"/>
      <c r="X67" s="444"/>
      <c r="Y67" s="444"/>
      <c r="Z67" s="444"/>
      <c r="AA67" s="444"/>
      <c r="AB67" s="444"/>
      <c r="AC67" s="444"/>
      <c r="AD67" s="444"/>
      <c r="AE67" s="444"/>
      <c r="AF67" s="444"/>
      <c r="AG67" s="444"/>
      <c r="AH67" s="444"/>
    </row>
    <row r="68" spans="8:34" x14ac:dyDescent="0.2">
      <c r="H68" s="444"/>
      <c r="I68" s="444"/>
      <c r="J68" s="444"/>
      <c r="K68" s="444"/>
      <c r="L68" s="444"/>
      <c r="M68" s="444"/>
      <c r="N68" s="444"/>
      <c r="O68" s="444"/>
      <c r="P68" s="444"/>
      <c r="Q68" s="444"/>
      <c r="R68" s="444"/>
      <c r="S68" s="444"/>
      <c r="T68" s="444"/>
      <c r="U68" s="444"/>
      <c r="V68" s="444"/>
      <c r="W68" s="444"/>
      <c r="X68" s="444"/>
      <c r="Y68" s="444"/>
      <c r="Z68" s="444"/>
      <c r="AA68" s="444"/>
      <c r="AB68" s="444"/>
      <c r="AC68" s="444"/>
      <c r="AD68" s="444"/>
      <c r="AE68" s="444"/>
      <c r="AF68" s="444"/>
      <c r="AG68" s="444"/>
      <c r="AH68" s="4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Sheet3</vt:lpstr>
      <vt:lpstr>Success</vt:lpstr>
      <vt:lpstr>Reference Point</vt:lpstr>
      <vt:lpstr>COPY</vt:lpstr>
      <vt:lpstr>Closing </vt:lpstr>
      <vt:lpstr>closing1</vt:lpstr>
      <vt:lpstr>Last 32secs Trade</vt:lpstr>
      <vt:lpstr>Sheet1</vt:lpstr>
      <vt:lpstr>Sheet6</vt:lpstr>
      <vt:lpstr>Sheet4</vt:lpstr>
      <vt:lpstr>Sheet5</vt:lpstr>
      <vt:lpstr>Sheet 3 advanced</vt:lpstr>
      <vt:lpstr>Sheet 3 E version </vt:lpstr>
      <vt:lpstr>Sheet 3 Ipad version </vt:lpstr>
      <vt:lpstr>Sheet7</vt:lpstr>
      <vt:lpstr>5 Minute Graph Signals </vt:lpstr>
      <vt:lpstr>Success 5 minute 7sec signal</vt:lpstr>
      <vt:lpstr>Sheet9</vt:lpstr>
      <vt:lpstr>Sheet2</vt:lpstr>
      <vt:lpstr>EURUSD Session Signal 7sec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Shubham K</cp:lastModifiedBy>
  <cp:revision/>
  <dcterms:created xsi:type="dcterms:W3CDTF">2025-01-25T07:32:52Z</dcterms:created>
  <dcterms:modified xsi:type="dcterms:W3CDTF">2025-11-02T14:26:18Z</dcterms:modified>
  <cp:category/>
  <cp:contentStatus/>
</cp:coreProperties>
</file>